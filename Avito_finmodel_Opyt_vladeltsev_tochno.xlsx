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 tabRatio="500" activeTab="6"/>
  </bookViews>
  <sheets>
    <sheet name="Сводка" sheetId="1" r:id="rId1"/>
    <sheet name="Допущения" sheetId="2" r:id="rId2"/>
    <sheet name="Обоснование_uplift" sheetId="3" r:id="rId3"/>
    <sheet name="Модель_Пессимист" sheetId="4" r:id="rId4"/>
    <sheet name="Модель_База" sheetId="5" r:id="rId5"/>
    <sheet name="Модель_Оптимист" sheetId="6" r:id="rId6"/>
    <sheet name="Источники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<sst xmlns="http://schemas.openxmlformats.org/spreadsheetml/2006/main" count="1183" uniqueCount="375">
  <si>
    <t xml:space="preserve">Финмодель </t>
  </si>
  <si>
    <t>Кейс: до 10 млрд ₽ за 3 года, окупаемость до 3 лет. Период: Q1 2027 – Q4 2029. Деньги — млн ₽.</t>
  </si>
  <si>
    <t>Синий — ввод; чёрный — формула; зелёный — ссылка на лист; жёлтый — ключевое допущение.</t>
  </si>
  <si>
    <t>Допущения менять только на листе «Допущения».</t>
  </si>
  <si>
    <t>1. Ключевые результаты</t>
  </si>
  <si>
    <t>Пессимист</t>
  </si>
  <si>
    <t>База</t>
  </si>
  <si>
    <t>Оптимист</t>
  </si>
  <si>
    <t>Окупаемость, квартал проекта (накопленный поток ≥ 0)</t>
  </si>
  <si>
    <t>Дисконтированная окупаемость, квартал проекта (ставка 15%)</t>
  </si>
  <si>
    <t>Окупаемость, месяцев</t>
  </si>
  <si>
    <t>Пиковая потребность в финансировании, млн ₽</t>
  </si>
  <si>
    <t>Доля от лимита 10 млрд ₽</t>
  </si>
  <si>
    <t>Дополнительная выручка за 3 года, млн ₽</t>
  </si>
  <si>
    <t>Затраты за 3 года, млн ₽</t>
  </si>
  <si>
    <t>Накопленный чистый поток за 3 года, млн ₽</t>
  </si>
  <si>
    <t>NPV за 3 года, млн ₽</t>
  </si>
  <si>
    <t>ROI за 3 года</t>
  </si>
  <si>
    <t>Run-rate чистого потока на Q12, млн ₽/год</t>
  </si>
  <si>
    <t>Отзывов за 3 года, тыс. шт.</t>
  </si>
  <si>
    <t>Чистый прирост сделок за 3 года, тыс. шт.</t>
  </si>
  <si>
    <t>Мин. прирост конверсии: простая окупаемость за 12 кв.</t>
  </si>
  <si>
    <t>Мин. прирост конверсии: дисконтированная окупаемость за 12 кв.</t>
  </si>
  <si>
    <t>Заложенный прирост конверсии</t>
  </si>
  <si>
    <t>Проверки по условиям кейса</t>
  </si>
  <si>
    <t>Бюджет: пиковая потребность ≤ лимита (10 млрд ₽)</t>
  </si>
  <si>
    <t>Срок: окупаемость ≤ 12 кварталов</t>
  </si>
  <si>
    <t>Срок: дисконтированная окупаемость ≤ 12 кварталов</t>
  </si>
  <si>
    <t>Контрольное условие: чистый эффект на сделки ≥ 0 (контакты не падают)</t>
  </si>
  <si>
    <t>2. По годам — Пессимист, млн ₽</t>
  </si>
  <si>
    <t>2027</t>
  </si>
  <si>
    <t>2028</t>
  </si>
  <si>
    <t>2029</t>
  </si>
  <si>
    <t>Итого</t>
  </si>
  <si>
    <t>Эффект 1: конверсия в сделку</t>
  </si>
  <si>
    <t>Эффект 2: продвижение новых объявлений</t>
  </si>
  <si>
    <t>Эффект 2: сделки по новым объявлениям</t>
  </si>
  <si>
    <t>Эффект 3: визиты (реклама, рекомендации)</t>
  </si>
  <si>
    <t>Эффект 4: удержание</t>
  </si>
  <si>
    <t>Дополнительная выручка всего</t>
  </si>
  <si>
    <t>Маржинальный доход</t>
  </si>
  <si>
    <t>Затраты: команда разработки</t>
  </si>
  <si>
    <t>Затраты: модерация (ИИ + ручная)</t>
  </si>
  <si>
    <t>Затраты: ИИ и инфраструктура</t>
  </si>
  <si>
    <t>Затраты: мотивация авторов</t>
  </si>
  <si>
    <t>Затраты: маркетинг</t>
  </si>
  <si>
    <t>Затраты: резерв</t>
  </si>
  <si>
    <t>Затраты всего</t>
  </si>
  <si>
    <t>Чистый денежный поток</t>
  </si>
  <si>
    <t>2. По годам — База, млн ₽</t>
  </si>
  <si>
    <t>2. По годам — Оптимист, млн ₽</t>
  </si>
  <si>
    <t>3. Чувствительность: накопленный поток за 3 года, млн ₽, к приросту конверсии</t>
  </si>
  <si>
    <t>Прирост конверсии (остальное — как в сценарии)</t>
  </si>
  <si>
    <t>Линейно по uplift; «н/д» — если чистый эффект на конверсию ≤ 0.</t>
  </si>
  <si>
    <t>4. Накопленный чистый денежный поток по кварталам, млн ₽</t>
  </si>
  <si>
    <t>Квартал</t>
  </si>
  <si>
    <t>Лимит инвестиций (отрицательная граница)</t>
  </si>
  <si>
    <t xml:space="preserve">Допущения модели </t>
  </si>
  <si>
    <t>Синий — ввод; жёлтая заливка — ключевое допущение (проверить на пилоте). Цифры вне открытых данных — допущения команды.Все числа вне открытых данных — допущения команды (черновые, подбираем вместе).</t>
  </si>
  <si>
    <t>Параметр</t>
  </si>
  <si>
    <t>Ед.</t>
  </si>
  <si>
    <t>Статус</t>
  </si>
  <si>
    <t>Источник / комментарий</t>
  </si>
  <si>
    <t>1. Рамки кейса и финансовые параметры</t>
  </si>
  <si>
    <t>Лимит инвестиций (потолок, не цель)</t>
  </si>
  <si>
    <t>млн ₽</t>
  </si>
  <si>
    <t>Факт кейса</t>
  </si>
  <si>
    <t>Кейс: до 10 млрд ₽ на 3 года.</t>
  </si>
  <si>
    <t>Максимальный срок окупаемости</t>
  </si>
  <si>
    <t>кварталов</t>
  </si>
  <si>
    <t>Кейс: окупаемость до 3 лет.</t>
  </si>
  <si>
    <t>Ставка дисконтирования (годовая)</t>
  </si>
  <si>
    <t>% год</t>
  </si>
  <si>
    <t>Допущение команды</t>
  </si>
  <si>
    <t>Ключевая ставка ЦБ 14% + 1 п.п.</t>
  </si>
  <si>
    <t>Маржа инкрементального дохода (после переменных издержек сделок)</t>
  </si>
  <si>
    <t>%</t>
  </si>
  <si>
    <t>Доля выручки после переменных издержек. Без налогов.</t>
  </si>
  <si>
    <t>2. Рынок и стартовая база</t>
  </si>
  <si>
    <t>Товарные сделки на платформе в год (база 2026)</t>
  </si>
  <si>
    <t>млн шт.</t>
  </si>
  <si>
    <t>Открытые данные</t>
  </si>
  <si>
    <t>Forbes, А. Гевлич (2023): более 200 млн.</t>
  </si>
  <si>
    <t>Рост числа товарных сделок в год</t>
  </si>
  <si>
    <t>Заказы с Доставкой в 2025: +30% (Retail.ru).</t>
  </si>
  <si>
    <t>Доля товарных сделок с Авито Доставкой (2026)</t>
  </si>
  <si>
    <t>МойСклад/Авито: 27% (I пол. 2024) → 37% (I пол. 2025).</t>
  </si>
  <si>
    <t>Рост доли Доставки в год</t>
  </si>
  <si>
    <t>п.п./год</t>
  </si>
  <si>
    <t>В 2025 к 2024: +10 п.п.; берём 0–4.</t>
  </si>
  <si>
    <t>Месячная аудитория Авито</t>
  </si>
  <si>
    <t>млн чел.</t>
  </si>
  <si>
    <t>Кейс: более 51 млн (сентябрь 2026). Без роста.</t>
  </si>
  <si>
    <t>3. Охват механики</t>
  </si>
  <si>
    <t>Доля сделок Доставки в охваченных категориях — Год 1</t>
  </si>
  <si>
    <t>Доли категорий в заказах с Доставкой (2025): хобби 15%, запчасти 10%, красота 8%, спорт 6%. Пессимист: хобби+спорт; база: +запчасти; оптимист: +красота.</t>
  </si>
  <si>
    <t>то же — Год 2</t>
  </si>
  <si>
    <t>Расширение на соседние категории.</t>
  </si>
  <si>
    <t>то же — Год 3</t>
  </si>
  <si>
    <t>Пессимист: без расширения.</t>
  </si>
  <si>
    <t>Доля сделок, идущих через карточки с блоком опыта (на зрелости)</t>
  </si>
  <si>
    <t>Блок виден только там, где набрано достаточно отзывов.</t>
  </si>
  <si>
    <t>4. Воронка отзывов</t>
  </si>
  <si>
    <t>Доля подтверждённых покупателей, оставивших отзыв о модели (на зрелости)</t>
  </si>
  <si>
    <t>Авито (2024): после покупки товаров отзыв оставляют &gt;23%, услуг &gt;17%. Отзыв о модели сложнее.</t>
  </si>
  <si>
    <t>Доля авторов, обновивших отзыв позже / с долгим сроком использования</t>
  </si>
  <si>
    <t>Они же — аудитория пуша «оцените и продайте».</t>
  </si>
  <si>
    <t>Срок использования до пуша «оцените и продайте»</t>
  </si>
  <si>
    <t>2 кв. ≈ 6 мес.</t>
  </si>
  <si>
    <t>Доля обновивших отзыв, выставивших вещь через «Можно продать»</t>
  </si>
  <si>
    <t>Проверить на пилоте.</t>
  </si>
  <si>
    <t>Доля выставивших вещь, купивших продвижение</t>
  </si>
  <si>
    <t>Средний платёж за продвижение</t>
  </si>
  <si>
    <t>₽</t>
  </si>
  <si>
    <t>Доля выставленных вещей, проданных через Доставку</t>
  </si>
  <si>
    <t>Доля новых объявлений, дошедших до сделки через Доставку.</t>
  </si>
  <si>
    <t>5. Конверсия и доход со сделки</t>
  </si>
  <si>
    <t>Прирост конверсии в сделку в карточках с блоком (относительный)</t>
  </si>
  <si>
    <t>Оценка по бенчмарку</t>
  </si>
  <si>
    <t>Вилка 3–7% из данных Авито о видео, см. лист «Обоснование_uplift». Проверить A/B-тестом.</t>
  </si>
  <si>
    <t>Доля прироста, действительно инкрементальная</t>
  </si>
  <si>
    <t>За вычетом перетока сделок из других объявлений.</t>
  </si>
  <si>
    <t>Негативный эффект: потеря сделок в охваченных карточках (слабые модели, меньше контактов)</t>
  </si>
  <si>
    <t>Риск: слабые модели теряют спрос, покупатели реже пишут продавцу. Контроль — контакты.</t>
  </si>
  <si>
    <t>Средний чек сделки с Доставкой</t>
  </si>
  <si>
    <t>Со слов команды (созвон)</t>
  </si>
  <si>
    <t>Созвон: около 2 000 ₽.</t>
  </si>
  <si>
    <t>Доход Авито с оборота сделки через Доставку</t>
  </si>
  <si>
    <t>Созвон: комиссия около 250 ₽ (12,5% чека). Пессимист — 225 ₽.</t>
  </si>
  <si>
    <t>Индексация среднего чека и комиссии в год (сложный процент)</t>
  </si>
  <si>
    <t>Рост чека и комиссии со 2-го года: (1+i)^(год−1).</t>
  </si>
  <si>
    <t>6. Визиты (эффект 3)</t>
  </si>
  <si>
    <t>Доля аудитории охваченных категорий, пользующаяся блоком в месяц (на зрелости)</t>
  </si>
  <si>
    <t>Читатели, авторы, участники обсуждений.</t>
  </si>
  <si>
    <t>Дополнительных визитов на участника в месяц</t>
  </si>
  <si>
    <t>визитов</t>
  </si>
  <si>
    <t>Только новые визиты.</t>
  </si>
  <si>
    <t>Просмотров за дополнительный визит</t>
  </si>
  <si>
    <t>шт.</t>
  </si>
  <si>
    <t>Доход от рекламы и рекомендаций на один просмотр</t>
  </si>
  <si>
    <t>40–120 ₽ за 1000 просмотров.</t>
  </si>
  <si>
    <t>7. Удержание (эффект 4 — верхний сценарий)</t>
  </si>
  <si>
    <t>Доп. сделок в год на участника за счёт удержания (по всей платформе)</t>
  </si>
  <si>
    <t>сделок/год</t>
  </si>
  <si>
    <t>Только в оптимисте.</t>
  </si>
  <si>
    <t>Средний доход Авито со сделки на платформе</t>
  </si>
  <si>
    <t>Вся платформа; для эффекта 4.</t>
  </si>
  <si>
    <t>8. Команда разработки (постоянные затраты)</t>
  </si>
  <si>
    <t>Роль (база, FTE)</t>
  </si>
  <si>
    <t>Год 1</t>
  </si>
  <si>
    <t>Год 2</t>
  </si>
  <si>
    <t>Год 3</t>
  </si>
  <si>
    <t>Продакт-менеджер</t>
  </si>
  <si>
    <t>FTE</t>
  </si>
  <si>
    <t>Численность — допущение.</t>
  </si>
  <si>
    <t>Дизайнер</t>
  </si>
  <si>
    <t>Бэкенд-разработчики</t>
  </si>
  <si>
    <t>Фронтенд-разработчик</t>
  </si>
  <si>
    <t>Мобильная разработка (iOS/Android)</t>
  </si>
  <si>
    <t>ML-инженеры (ИИ-пересказ, модерация)</t>
  </si>
  <si>
    <t>Аналитики</t>
  </si>
  <si>
    <t>QA</t>
  </si>
  <si>
    <t>Итого FTE (база)</t>
  </si>
  <si>
    <t>Команда — сценарные параметры</t>
  </si>
  <si>
    <t>Коэффициент к численности команды</t>
  </si>
  <si>
    <t>x</t>
  </si>
  <si>
    <t>Компоненты Авито уже есть (кейс), поэтому в базе команда меньше. Пессимист: полная.</t>
  </si>
  <si>
    <t>Стоимость 1 FTE в месяц (с налогами и накладными)</t>
  </si>
  <si>
    <t>тыс. ₽</t>
  </si>
  <si>
    <t>Уточнить у HR.</t>
  </si>
  <si>
    <t>Индексация ФОТ в год</t>
  </si>
  <si>
    <t>9. Модерация, ИИ и мотивация авторов (переменные затраты)</t>
  </si>
  <si>
    <t>Сообщений в обсуждениях на один отзыв</t>
  </si>
  <si>
    <t>Модерация отзывов и сообщений.</t>
  </si>
  <si>
    <t>Стоимость ИИ-модерации одного объекта</t>
  </si>
  <si>
    <t>Модели Авито (A-Vibe, A-Vision).</t>
  </si>
  <si>
    <t>Доля спорных объектов (ручная проверка)</t>
  </si>
  <si>
    <t>Стоимость ручной проверки</t>
  </si>
  <si>
    <t>ИИ: генерация пересказов и ИИ-ответов, на 1 отзыв</t>
  </si>
  <si>
    <t>Инфраструктура и хранение (фикс.) в квартал</t>
  </si>
  <si>
    <t>Первый квартал инфраструктурных затрат</t>
  </si>
  <si>
    <t>№ кв.</t>
  </si>
  <si>
    <t>Альфа.</t>
  </si>
  <si>
    <t>Доля отзывов, получающих бонус/пожертвование</t>
  </si>
  <si>
    <t>Только за полезные отзывы.</t>
  </si>
  <si>
    <t>Сумма бонуса/пожертвования за отзыв</t>
  </si>
  <si>
    <t>Открыто: бонусы или пожертвование.</t>
  </si>
  <si>
    <t>Годовой потолок бюджета на мотивацию</t>
  </si>
  <si>
    <t>млн ₽/год</t>
  </si>
  <si>
    <t>В квартал — 1/4 лимита.</t>
  </si>
  <si>
    <t>Резерв на непредвиденные затраты</t>
  </si>
  <si>
    <t>10. Маркетинг запуска</t>
  </si>
  <si>
    <t>Разовый маркетинг запуска</t>
  </si>
  <si>
    <t>Внутренние каналы почти бесплатны; бюджет — на внешние активности и тесты.</t>
  </si>
  <si>
    <t>Первый квартал маркетинга запуска</t>
  </si>
  <si>
    <t>Последний квартал маркетинга запуска</t>
  </si>
  <si>
    <t>Текущий маркетинг и тесты после запуска, в квартал</t>
  </si>
  <si>
    <t>11. Профиль зрелости запуска по кварталам (доля от «зрелого» уровня)</t>
  </si>
  <si>
    <t>Q1</t>
  </si>
  <si>
    <t>Q2</t>
  </si>
  <si>
    <t>Q3</t>
  </si>
  <si>
    <t>Q1–Q2: разработка, альфа; Q3: пилот; с Q4: запуск.</t>
  </si>
  <si>
    <t>Q5</t>
  </si>
  <si>
    <t>Q6</t>
  </si>
  <si>
    <t>Q7</t>
  </si>
  <si>
    <t>Q8</t>
  </si>
  <si>
    <t>Q9</t>
  </si>
  <si>
    <t>Q10</t>
  </si>
  <si>
    <t>Q11</t>
  </si>
  <si>
    <t>Q12</t>
  </si>
  <si>
    <t>Профиль зрелости — Пессимист</t>
  </si>
  <si>
    <t>% от зрелости</t>
  </si>
  <si>
    <t>Профиль зрелости — База</t>
  </si>
  <si>
    <t>Профиль зрелости — Оптимист</t>
  </si>
  <si>
    <t>Обоснование прироста конверсии в сделку</t>
  </si>
  <si>
    <t>Прямых данных по механике нет. Вилка выводится из внутреннего ориентира Авито. Точное значение даст A/B-тест.</t>
  </si>
  <si>
    <t>Показатель</t>
  </si>
  <si>
    <t>Низ</t>
  </si>
  <si>
    <t>Середина</t>
  </si>
  <si>
    <t>Верх</t>
  </si>
  <si>
    <t>Источник</t>
  </si>
  <si>
    <t>Рост взаимодействий от видео в объявлениях</t>
  </si>
  <si>
    <t>Авито (кейс): +6–10%.</t>
  </si>
  <si>
    <t>Доля прироста взаимодействий, доходящая до сделки</t>
  </si>
  <si>
    <t>Допущение. Проверяется на пилоте.</t>
  </si>
  <si>
    <t>Прирост конверсии в сделку (1 × 2)</t>
  </si>
  <si>
    <t>Надбавка: отзывы владельцев сильнее видео</t>
  </si>
  <si>
    <t>Суждение: только для оптимиста, +1 п.п.</t>
  </si>
  <si>
    <t>Вилка с надбавкой</t>
  </si>
  <si>
    <t>Принято в модели</t>
  </si>
  <si>
    <t>Прирост конверсии (лист «Допущения»)</t>
  </si>
  <si>
    <t>Мин. прирост: простая окупаемость за 12 кв.</t>
  </si>
  <si>
    <t>Мин. прирост: дисконтированная окупаемость за 12 кв.</t>
  </si>
  <si>
    <t>Запас: принято − мин. (простая), п.п.</t>
  </si>
  <si>
    <t>Что не использовано как оценка</t>
  </si>
  <si>
    <t>Spiegel Research Center (2017): +190–380% при 5 отзывах против 0. Наблюдательные данные, выборка не раскрыта, эффект убывает.</t>
  </si>
  <si>
    <t>PowerReviews/1WorldSync: 74% читают Q&amp;A, 24% подозрительнее без него. Опрос, числа по конверсии нет.</t>
  </si>
  <si>
    <t>Вывод: направление эффекта подтверждено, величина — нет. Порог окупаемости базы лежит внутри вилки, поэтому нужен A/B-тест (ноутбук ab_test.ipynb).</t>
  </si>
  <si>
    <t>Финмодель - сценарий: Пессимист</t>
  </si>
  <si>
    <t>Номер сценария на листе (1 = Пессимист, 2 = База, 3 = Оптимист)</t>
  </si>
  <si>
    <t>Сценарий</t>
  </si>
  <si>
    <t>Деньги — млн ₽, объёмы — тыс. шт. за квартал. Допущения — с листа «Допущения».</t>
  </si>
  <si>
    <t>Квартал №</t>
  </si>
  <si>
    <t>Год проекта</t>
  </si>
  <si>
    <t>Период</t>
  </si>
  <si>
    <t>Параметры сценария (из листа «Допущения»)</t>
  </si>
  <si>
    <t>Доход Авито с одной сделки через Доставку</t>
  </si>
  <si>
    <t>Численность команды, Год 1</t>
  </si>
  <si>
    <t>Численность команды, Год 2</t>
  </si>
  <si>
    <t>Численность команды, Год 3</t>
  </si>
  <si>
    <t>A. Объёмы и охват</t>
  </si>
  <si>
    <t>Товарные сделки на платформе</t>
  </si>
  <si>
    <t>тыс. шт.</t>
  </si>
  <si>
    <t>Доля сделок через Доставку</t>
  </si>
  <si>
    <t>Сделки через Доставку</t>
  </si>
  <si>
    <t>Охват категорий механикой (доля сделок Доставки)</t>
  </si>
  <si>
    <t>Профиль зрелости запуска</t>
  </si>
  <si>
    <t>Сделки Доставки в охваченных категориях</t>
  </si>
  <si>
    <t>из них — в карточках с блоком опыта</t>
  </si>
  <si>
    <t>B. Воронка отзывов</t>
  </si>
  <si>
    <t>Отзывы о моделях (подтверждённые покупатели)</t>
  </si>
  <si>
    <t>Авторы с долгим сроком использования / обновили отзыв</t>
  </si>
  <si>
    <t>Выставили вещь через «Можно продать»</t>
  </si>
  <si>
    <t>Купили продвижение</t>
  </si>
  <si>
    <t>C. Эффекты (дополнительная выручка Авито)</t>
  </si>
  <si>
    <t>Доход Авито с одной сделки через Доставку (с индексацией)</t>
  </si>
  <si>
    <t>Эффект 1: прирост сделок (инкрементальный)</t>
  </si>
  <si>
    <t>Эффект 1: потеря сделок (слабые модели, меньше контактов)</t>
  </si>
  <si>
    <t>Эффект 1: чистый прирост сделок</t>
  </si>
  <si>
    <t>Эффект 1: доход от конверсии (комиссия Доставки)</t>
  </si>
  <si>
    <t>Эффект 2: доход от продвижения новых объявлений</t>
  </si>
  <si>
    <t>Эффект 2: доход со сделок по новым объявлениям</t>
  </si>
  <si>
    <t>Участники блока в месяц (аудитория)</t>
  </si>
  <si>
    <t>тыс. чел.</t>
  </si>
  <si>
    <t>Эффект 3: дополнительные просмотры за квартал</t>
  </si>
  <si>
    <t>Эффект 3: доход от рекламы и рекомендаций</t>
  </si>
  <si>
    <t>Эффект 4: удержание (верхний сценарий)</t>
  </si>
  <si>
    <t>Маржинальный доход (после переменных издержек)</t>
  </si>
  <si>
    <t>D. Затраты</t>
  </si>
  <si>
    <t>Численность команды</t>
  </si>
  <si>
    <t>Команда разработки</t>
  </si>
  <si>
    <t>Объекты модерации (отзывы + сообщения)</t>
  </si>
  <si>
    <t>ИИ-модерация</t>
  </si>
  <si>
    <t>Ручная модерация спорных случаев</t>
  </si>
  <si>
    <t>ИИ и инфраструктура</t>
  </si>
  <si>
    <t>Мотивация авторов (с годовым потолком)</t>
  </si>
  <si>
    <t>Маркетинг (запуск + текущий)</t>
  </si>
  <si>
    <t>Затраты до резерва</t>
  </si>
  <si>
    <t>Резерв</t>
  </si>
  <si>
    <t>E. Денежный поток и окупаемость</t>
  </si>
  <si>
    <t>Накопленный денежный поток</t>
  </si>
  <si>
    <t>Коэффициент дисконтирования</t>
  </si>
  <si>
    <t>Дисконтированный денежный поток</t>
  </si>
  <si>
    <t>Накопленный дисконтированный поток</t>
  </si>
  <si>
    <t>Признак дисконтированной окупаемости (накопл. дисконт. поток ≥ 0)</t>
  </si>
  <si>
    <t>1/0</t>
  </si>
  <si>
    <t>Признак окупаемости (накопленный поток ≥ 0)</t>
  </si>
  <si>
    <t>F. Итоги сценария</t>
  </si>
  <si>
    <t>Окупаемость: квартал, когда накопленный поток ≥ 0</t>
  </si>
  <si>
    <t>Дисконтированная окупаемость: квартал, когда накопл. дисконт. поток ≥ 0</t>
  </si>
  <si>
    <t>Окупаемость в месяцах</t>
  </si>
  <si>
    <t>мес.</t>
  </si>
  <si>
    <t>Пиковая потребность в финансировании</t>
  </si>
  <si>
    <t>Доля от лимита инвестиций</t>
  </si>
  <si>
    <t>Дополнительная выручка за 3 года</t>
  </si>
  <si>
    <t>Затраты за 3 года</t>
  </si>
  <si>
    <t>Накопленный чистый поток за 3 года</t>
  </si>
  <si>
    <t>NPV за 3 года</t>
  </si>
  <si>
    <t>ROI за 3 года (накопл. чистый поток / затраты)</t>
  </si>
  <si>
    <t>Run-rate чистого потока на Q12 (×4)</t>
  </si>
  <si>
    <t>Отзывы за 3 года</t>
  </si>
  <si>
    <t>Чистый прирост сделок за 3 года</t>
  </si>
  <si>
    <t>Чистый эффект на конверсию (uplift × доля инкрем. − потери)</t>
  </si>
  <si>
    <t>Маржинальный доход эффекта 1 за 3 года</t>
  </si>
  <si>
    <t>Маржинальный доход эффекта 1, дисконтированный</t>
  </si>
  <si>
    <t>Финмодель - сценарий: База</t>
  </si>
  <si>
    <t>Финмодель -  сценарий: Оптимист</t>
  </si>
  <si>
    <t>Данные кейса и открытые источники, использованные в модели</t>
  </si>
  <si>
    <t>Значение</t>
  </si>
  <si>
    <t>Источник / как использовано</t>
  </si>
  <si>
    <t>Лимит инвестиций</t>
  </si>
  <si>
    <t>до 10 млрд ₽ за 3 года</t>
  </si>
  <si>
    <t>Кейс. Потолок, не цель.</t>
  </si>
  <si>
    <t>Срок окупаемости</t>
  </si>
  <si>
    <t>до 3 лет</t>
  </si>
  <si>
    <t>Кейс.</t>
  </si>
  <si>
    <t>Сделки в Авито Товарах за год</t>
  </si>
  <si>
    <t>более 200 млн (2023)</t>
  </si>
  <si>
    <t>Forbes, А. Гевлич.</t>
  </si>
  <si>
    <t>Доля товарных сделок с Доставкой</t>
  </si>
  <si>
    <t>27% (I пол. 2024) → 37% (I пол. 2025)</t>
  </si>
  <si>
    <t>МойСклад/Авито.</t>
  </si>
  <si>
    <t>Рост заказов с доставкой</t>
  </si>
  <si>
    <t>+30% в 2025 к 2024</t>
  </si>
  <si>
    <t>Retail.ru/Авито.</t>
  </si>
  <si>
    <t>Категории в заказах с Доставкой</t>
  </si>
  <si>
    <t>одежда 30%, хобби 15%, запчасти 10%, красота 8%, спорт 6% (2025)</t>
  </si>
  <si>
    <t>Retail.ru. База охвата стартовых категорий.</t>
  </si>
  <si>
    <t>Месячная аудитория</t>
  </si>
  <si>
    <t>более 51 млн (сентябрь 2026)</t>
  </si>
  <si>
    <t>Отзывы после покупки</t>
  </si>
  <si>
    <t>товары &gt;23%, услуги &gt;17% сделок</t>
  </si>
  <si>
    <t>Авито, ComNews (2024). Ориентир для доли отзывов.</t>
  </si>
  <si>
    <t>Видео в объявлениях</t>
  </si>
  <si>
    <t>+6–10% взаимодействий</t>
  </si>
  <si>
    <t>Авито. Ориентир для прироста конверсии.</t>
  </si>
  <si>
    <t>около 2 000 ₽</t>
  </si>
  <si>
    <t>Созвон команды.</t>
  </si>
  <si>
    <t>Комиссия Авито со сделки</t>
  </si>
  <si>
    <t>около 250 ₽</t>
  </si>
  <si>
    <t>Ключевая ставка ЦБ</t>
  </si>
  <si>
    <t>14% (с 27.07.2026)</t>
  </si>
  <si>
    <t>Банк России. Ставка дисконтирования 15%.</t>
  </si>
  <si>
    <t>Прирост конверсии в сделку</t>
  </si>
  <si>
    <t>вилка 3–7%</t>
  </si>
  <si>
    <t>Видео +6–10% × 50–70% до сделки. Лист «Обоснование_uplift».</t>
  </si>
  <si>
    <t>Эффект отзывов (наблюдательный)</t>
  </si>
  <si>
    <t>+190–380% (5 отзывов vs 0)</t>
  </si>
  <si>
    <t>Spiegel Research Center, 2017. Не используется как оценка.</t>
  </si>
  <si>
    <t>Вопросы и ответы</t>
  </si>
  <si>
    <t>74% читают; 24% подозрительнее без Q&amp;A</t>
  </si>
  <si>
    <t>PowerReviews/1WorldSync, опрос ~16 тыс.</t>
  </si>
  <si>
    <t>Логика модели</t>
  </si>
  <si>
    <t>Воронка: сделки в стартовых категориях → отзыв → обновление отзыва → выставление вещи.</t>
  </si>
  <si>
    <t>Эффект 1: сделки в карточках с блоком × прирост конверсии × доля инкрементальных − потери, × доход со сделки.</t>
  </si>
  <si>
    <t>Эффект 2: авторы с долгим сроком × доля выставивших × (продвижение + доход со сделки).</t>
  </si>
  <si>
    <t>Эффект 3: доп. визиты × просмотры × доход на просмотр. Эффект 4 — только в оптимисте.</t>
  </si>
  <si>
    <t>Затраты: команда, модерация, ИИ и инфраструктура, мотивация авторов, маркетинг, резерв.</t>
  </si>
  <si>
    <t>Упрощения: без сезонности и налогов; общий профиль зрелости для всех категорий.</t>
  </si>
  <si>
    <t>Открытые вопросы к команде</t>
  </si>
  <si>
    <t>☐ Какие 3–5 категорий берём на старт.</t>
  </si>
  <si>
    <t>☐ Мотивация авторов: бонусы или пожертвование.</t>
  </si>
  <si>
    <t>☐ Остаёмся в товарах или расширяем на другие направления.</t>
  </si>
  <si>
    <t>☐ Где живут обсуждения: категории, модели или оба уровня.</t>
  </si>
  <si>
    <t>☐ Рабочее название для презентации.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</si>
</sst>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-* #,##0_-;\-* #,##0_-;_-* &quot;-&quot;_-;_-@_-"/>
    <numFmt numFmtId="43" formatCode="_-* #,##0.00_-;\-* #,##0.00_-;_-* &quot;-&quot;??_-;_-@_-"/>
    <numFmt numFmtId="176" formatCode="_-&quot;₽&quot;* #,##0.00_-;\-&quot;₽&quot;* #,##0.00_-;_-&quot;₽&quot;* &quot;-&quot;??_-;_-@_-"/>
    <numFmt numFmtId="177" formatCode="_-* #,##0_-;\-&quot;₽&quot;* #,##0_-;_-&quot;₽&quot;* &quot;-&quot;_-;_-@_-"/>
    <numFmt numFmtId="178" formatCode="#,##0;\(#,##0\);\-"/>
    <numFmt numFmtId="179" formatCode="0.0%;\(0.0%\);\-"/>
    <numFmt numFmtId="180" formatCode="#,##0.00;\(#,##0.00\);\-"/>
    <numFmt numFmtId="181" formatCode="0.0"/>
    <numFmt numFmtId="182" formatCode="#,##0.0;\(#,##0.0\);\-"/>
    <numFmt numFmtId="183" formatCode="0%;\(0%\);\-"/>
    <numFmt numFmtId="184" formatCode="0.000"/>
    <numFmt numFmtId="185" formatCode="0.00%;\(0.00%\);\-"/>
    <numFmt numFmtId="186" formatCode="0.0%"/>
  </numFmts>
  <fonts count="30">
    <font>
      <sz val="11"/>
      <color theme="1"/>
      <name val="Calibri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b/>
      <sz val="10"/>
      <color rgb="FF008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176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177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 applyAlignment="1"/>
    <xf numFmtId="0" fontId="3" fillId="0" borderId="0" xfId="0" applyFont="1"/>
    <xf numFmtId="178" fontId="5" fillId="0" borderId="0" xfId="0" applyNumberFormat="1" applyFont="1"/>
    <xf numFmtId="0" fontId="6" fillId="0" borderId="0" xfId="0" applyFont="1"/>
    <xf numFmtId="0" fontId="7" fillId="0" borderId="0" xfId="0" applyFont="1"/>
    <xf numFmtId="178" fontId="4" fillId="0" borderId="0" xfId="0" applyNumberFormat="1" applyFont="1"/>
    <xf numFmtId="0" fontId="2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178" fontId="6" fillId="0" borderId="0" xfId="0" applyNumberFormat="1" applyFont="1"/>
    <xf numFmtId="179" fontId="6" fillId="0" borderId="0" xfId="0" applyNumberFormat="1" applyFont="1"/>
    <xf numFmtId="180" fontId="6" fillId="0" borderId="0" xfId="0" applyNumberFormat="1" applyFont="1"/>
    <xf numFmtId="181" fontId="6" fillId="0" borderId="0" xfId="0" applyNumberFormat="1" applyFont="1"/>
    <xf numFmtId="182" fontId="6" fillId="0" borderId="0" xfId="0" applyNumberFormat="1" applyFont="1"/>
    <xf numFmtId="178" fontId="3" fillId="0" borderId="0" xfId="0" applyNumberFormat="1" applyFont="1"/>
    <xf numFmtId="179" fontId="3" fillId="0" borderId="0" xfId="0" applyNumberFormat="1" applyFont="1"/>
    <xf numFmtId="183" fontId="6" fillId="0" borderId="0" xfId="0" applyNumberFormat="1" applyFont="1"/>
    <xf numFmtId="182" fontId="3" fillId="0" borderId="0" xfId="0" applyNumberFormat="1" applyFont="1"/>
    <xf numFmtId="182" fontId="4" fillId="0" borderId="0" xfId="0" applyNumberFormat="1" applyFont="1"/>
    <xf numFmtId="0" fontId="4" fillId="4" borderId="0" xfId="0" applyFont="1" applyFill="1"/>
    <xf numFmtId="182" fontId="4" fillId="4" borderId="1" xfId="0" applyNumberFormat="1" applyFont="1" applyFill="1" applyBorder="1"/>
    <xf numFmtId="182" fontId="4" fillId="4" borderId="0" xfId="0" applyNumberFormat="1" applyFont="1" applyFill="1"/>
    <xf numFmtId="181" fontId="3" fillId="0" borderId="0" xfId="0" applyNumberFormat="1" applyFont="1"/>
    <xf numFmtId="184" fontId="3" fillId="0" borderId="0" xfId="0" applyNumberFormat="1" applyFont="1"/>
    <xf numFmtId="185" fontId="3" fillId="0" borderId="0" xfId="0" applyNumberFormat="1" applyFont="1"/>
    <xf numFmtId="179" fontId="4" fillId="0" borderId="0" xfId="0" applyNumberFormat="1" applyFont="1"/>
    <xf numFmtId="179" fontId="5" fillId="0" borderId="0" xfId="0" applyNumberFormat="1" applyFont="1"/>
    <xf numFmtId="179" fontId="5" fillId="5" borderId="0" xfId="0" applyNumberFormat="1" applyFont="1" applyFill="1"/>
    <xf numFmtId="179" fontId="4" fillId="4" borderId="0" xfId="0" applyNumberFormat="1" applyFont="1" applyFill="1"/>
    <xf numFmtId="178" fontId="5" fillId="5" borderId="0" xfId="0" applyNumberFormat="1" applyFont="1" applyFill="1"/>
    <xf numFmtId="180" fontId="5" fillId="0" borderId="0" xfId="0" applyNumberFormat="1" applyFont="1"/>
    <xf numFmtId="178" fontId="4" fillId="4" borderId="0" xfId="0" applyNumberFormat="1" applyFont="1" applyFill="1"/>
    <xf numFmtId="181" fontId="5" fillId="0" borderId="0" xfId="0" applyNumberFormat="1" applyFont="1"/>
    <xf numFmtId="182" fontId="5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3" fontId="5" fillId="0" borderId="0" xfId="0" applyNumberFormat="1" applyFont="1"/>
    <xf numFmtId="183" fontId="5" fillId="5" borderId="0" xfId="0" applyNumberFormat="1" applyFont="1" applyFill="1"/>
    <xf numFmtId="178" fontId="8" fillId="0" borderId="0" xfId="0" applyNumberFormat="1" applyFont="1" applyAlignment="1">
      <alignment horizontal="right"/>
    </xf>
    <xf numFmtId="178" fontId="6" fillId="0" borderId="0" xfId="0" applyNumberFormat="1" applyFont="1" applyAlignment="1">
      <alignment horizontal="right"/>
    </xf>
    <xf numFmtId="182" fontId="8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/>
    </xf>
    <xf numFmtId="182" fontId="6" fillId="0" borderId="0" xfId="0" applyNumberFormat="1" applyFont="1" applyAlignment="1">
      <alignment horizontal="right"/>
    </xf>
    <xf numFmtId="179" fontId="8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82" fontId="8" fillId="4" borderId="0" xfId="0" applyNumberFormat="1" applyFont="1" applyFill="1"/>
    <xf numFmtId="186" fontId="5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BE4B48"/>
      <rgbColor rgb="00F2F2F2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7EBB"/>
      <rgbColor rgb="0033CCCC"/>
      <rgbColor rgb="0098B855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Накопленный чистый денежный поток, млн ₽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Сводка!$A$95</c:f>
              <c:strCache>
                <c:ptCount val="1"/>
                <c:pt idx="0">
                  <c:v>Пессимист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ru-RU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Сводка!$B$94:$M$94</c:f>
              <c:strCache>
                <c:ptCount val="12"/>
                <c:pt idx="0" c:formatCode="General">
                  <c:v>Q1 2027</c:v>
                </c:pt>
                <c:pt idx="1" c:formatCode="General">
                  <c:v>Q2 2027</c:v>
                </c:pt>
                <c:pt idx="2" c:formatCode="General">
                  <c:v>Q3 2027</c:v>
                </c:pt>
                <c:pt idx="3" c:formatCode="General">
                  <c:v>Q4 2027</c:v>
                </c:pt>
                <c:pt idx="4" c:formatCode="General">
                  <c:v>Q1 2028</c:v>
                </c:pt>
                <c:pt idx="5" c:formatCode="General">
                  <c:v>Q2 2028</c:v>
                </c:pt>
                <c:pt idx="6" c:formatCode="General">
                  <c:v>Q3 2028</c:v>
                </c:pt>
                <c:pt idx="7" c:formatCode="General">
                  <c:v>Q4 2028</c:v>
                </c:pt>
                <c:pt idx="8" c:formatCode="General">
                  <c:v>Q1 2029</c:v>
                </c:pt>
                <c:pt idx="9" c:formatCode="General">
                  <c:v>Q2 2029</c:v>
                </c:pt>
                <c:pt idx="10" c:formatCode="General">
                  <c:v>Q3 2029</c:v>
                </c:pt>
                <c:pt idx="11" c:formatCode="General">
                  <c:v>Q4 2029</c:v>
                </c:pt>
              </c:strCache>
            </c:strRef>
          </c:cat>
          <c:val>
            <c:numRef>
              <c:f>Сводка!$B$95:$M$95</c:f>
              <c:numCache>
                <c:formatCode>#,##0.0;\(#,##0.0\);\-</c:formatCode>
                <c:ptCount val="12"/>
                <c:pt idx="0">
                  <c:v>-22.275</c:v>
                </c:pt>
                <c:pt idx="1">
                  <c:v>-47.3</c:v>
                </c:pt>
                <c:pt idx="2">
                  <c:v>-105.325702866719</c:v>
                </c:pt>
                <c:pt idx="3">
                  <c:v>-163.352108600156</c:v>
                </c:pt>
                <c:pt idx="4">
                  <c:v>-200.917481478648</c:v>
                </c:pt>
                <c:pt idx="5">
                  <c:v>-238.452374496004</c:v>
                </c:pt>
                <c:pt idx="6">
                  <c:v>-275.94648370099</c:v>
                </c:pt>
                <c:pt idx="7">
                  <c:v>-313.402894768842</c:v>
                </c:pt>
                <c:pt idx="8">
                  <c:v>-354.716143120158</c:v>
                </c:pt>
                <c:pt idx="9">
                  <c:v>-395.945693266366</c:v>
                </c:pt>
                <c:pt idx="10">
                  <c:v>-437.07139929303</c:v>
                </c:pt>
                <c:pt idx="11">
                  <c:v>-478.110049462181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Сводка!$A$96</c:f>
              <c:strCache>
                <c:ptCount val="1"/>
                <c:pt idx="0">
                  <c:v>База</c:v>
                </c:pt>
              </c:strCache>
            </c:strRef>
          </c:tx>
          <c:spPr>
            <a:ln w="2844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ru-RU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Сводка!$B$94:$M$94</c:f>
              <c:strCache>
                <c:ptCount val="12"/>
                <c:pt idx="0" c:formatCode="General">
                  <c:v>Q1 2027</c:v>
                </c:pt>
                <c:pt idx="1" c:formatCode="General">
                  <c:v>Q2 2027</c:v>
                </c:pt>
                <c:pt idx="2" c:formatCode="General">
                  <c:v>Q3 2027</c:v>
                </c:pt>
                <c:pt idx="3" c:formatCode="General">
                  <c:v>Q4 2027</c:v>
                </c:pt>
                <c:pt idx="4" c:formatCode="General">
                  <c:v>Q1 2028</c:v>
                </c:pt>
                <c:pt idx="5" c:formatCode="General">
                  <c:v>Q2 2028</c:v>
                </c:pt>
                <c:pt idx="6" c:formatCode="General">
                  <c:v>Q3 2028</c:v>
                </c:pt>
                <c:pt idx="7" c:formatCode="General">
                  <c:v>Q4 2028</c:v>
                </c:pt>
                <c:pt idx="8" c:formatCode="General">
                  <c:v>Q1 2029</c:v>
                </c:pt>
                <c:pt idx="9" c:formatCode="General">
                  <c:v>Q2 2029</c:v>
                </c:pt>
                <c:pt idx="10" c:formatCode="General">
                  <c:v>Q3 2029</c:v>
                </c:pt>
                <c:pt idx="11" c:formatCode="General">
                  <c:v>Q4 2029</c:v>
                </c:pt>
              </c:strCache>
            </c:strRef>
          </c:cat>
          <c:val>
            <c:numRef>
              <c:f>Сводка!$B$96:$M$96</c:f>
              <c:numCache>
                <c:formatCode>#,##0.0;\(#,##0.0\);\-</c:formatCode>
                <c:ptCount val="12"/>
                <c:pt idx="0">
                  <c:v>-18.93375</c:v>
                </c:pt>
                <c:pt idx="1">
                  <c:v>-40.6175</c:v>
                </c:pt>
                <c:pt idx="2">
                  <c:v>-88.012176382575</c:v>
                </c:pt>
                <c:pt idx="3">
                  <c:v>-132.723242339013</c:v>
                </c:pt>
                <c:pt idx="4">
                  <c:v>-150.207645122937</c:v>
                </c:pt>
                <c:pt idx="5">
                  <c:v>-162.024716235161</c:v>
                </c:pt>
                <c:pt idx="6">
                  <c:v>-168.263191753612</c:v>
                </c:pt>
                <c:pt idx="7">
                  <c:v>-170.256784346018</c:v>
                </c:pt>
                <c:pt idx="8">
                  <c:v>-155.131326267921</c:v>
                </c:pt>
                <c:pt idx="9">
                  <c:v>-139.721595233333</c:v>
                </c:pt>
                <c:pt idx="10">
                  <c:v>-123.054827162878</c:v>
                </c:pt>
                <c:pt idx="11">
                  <c:v>-106.388059092423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Сводка!$A$97</c:f>
              <c:strCache>
                <c:ptCount val="1"/>
                <c:pt idx="0">
                  <c:v>Оптимист</c:v>
                </c:pt>
              </c:strCache>
            </c:strRef>
          </c:tx>
          <c:spPr>
            <a:ln w="28440" cap="rnd" cmpd="sng" algn="ctr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ru-RU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Сводка!$B$94:$M$94</c:f>
              <c:strCache>
                <c:ptCount val="12"/>
                <c:pt idx="0" c:formatCode="General">
                  <c:v>Q1 2027</c:v>
                </c:pt>
                <c:pt idx="1" c:formatCode="General">
                  <c:v>Q2 2027</c:v>
                </c:pt>
                <c:pt idx="2" c:formatCode="General">
                  <c:v>Q3 2027</c:v>
                </c:pt>
                <c:pt idx="3" c:formatCode="General">
                  <c:v>Q4 2027</c:v>
                </c:pt>
                <c:pt idx="4" c:formatCode="General">
                  <c:v>Q1 2028</c:v>
                </c:pt>
                <c:pt idx="5" c:formatCode="General">
                  <c:v>Q2 2028</c:v>
                </c:pt>
                <c:pt idx="6" c:formatCode="General">
                  <c:v>Q3 2028</c:v>
                </c:pt>
                <c:pt idx="7" c:formatCode="General">
                  <c:v>Q4 2028</c:v>
                </c:pt>
                <c:pt idx="8" c:formatCode="General">
                  <c:v>Q1 2029</c:v>
                </c:pt>
                <c:pt idx="9" c:formatCode="General">
                  <c:v>Q2 2029</c:v>
                </c:pt>
                <c:pt idx="10" c:formatCode="General">
                  <c:v>Q3 2029</c:v>
                </c:pt>
                <c:pt idx="11" c:formatCode="General">
                  <c:v>Q4 2029</c:v>
                </c:pt>
              </c:strCache>
            </c:strRef>
          </c:cat>
          <c:val>
            <c:numRef>
              <c:f>Сводка!$B$97:$M$97</c:f>
              <c:numCache>
                <c:formatCode>#,##0.0;\(#,##0.0\);\-</c:formatCode>
                <c:ptCount val="12"/>
                <c:pt idx="0">
                  <c:v>-22.275</c:v>
                </c:pt>
                <c:pt idx="1">
                  <c:v>-47.85</c:v>
                </c:pt>
                <c:pt idx="2">
                  <c:v>-105.404828512812</c:v>
                </c:pt>
                <c:pt idx="3">
                  <c:v>-146.932761709375</c:v>
                </c:pt>
                <c:pt idx="4">
                  <c:v>-103.157811494328</c:v>
                </c:pt>
                <c:pt idx="5">
                  <c:v>-27.0965569287188</c:v>
                </c:pt>
                <c:pt idx="6">
                  <c:v>76.4959432173875</c:v>
                </c:pt>
                <c:pt idx="7">
                  <c:v>197.936730943825</c:v>
                </c:pt>
                <c:pt idx="8">
                  <c:v>401.874416857751</c:v>
                </c:pt>
                <c:pt idx="9">
                  <c:v>607.02084636612</c:v>
                </c:pt>
                <c:pt idx="10">
                  <c:v>818.119248602345</c:v>
                </c:pt>
                <c:pt idx="11">
                  <c:v>1029.21765083857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69159675"/>
        <c:axId val="24884816"/>
      </c:lineChart>
      <c:catAx>
        <c:axId val="691596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4884816"/>
        <c:crosses val="autoZero"/>
        <c:auto val="1"/>
        <c:lblAlgn val="ctr"/>
        <c:lblOffset val="100"/>
        <c:noMultiLvlLbl val="0"/>
      </c:catAx>
      <c:valAx>
        <c:axId val="2488481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млн ₽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691596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8c1d6a-609e-4cd1-a871-cdc27901195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98</xdr:row>
      <xdr:rowOff>160920</xdr:rowOff>
    </xdr:from>
    <xdr:to>
      <xdr:col>3</xdr:col>
      <xdr:colOff>745200</xdr:colOff>
      <xdr:row>115</xdr:row>
      <xdr:rowOff>162000</xdr:rowOff>
    </xdr:to>
    <xdr:graphicFrame>
      <xdr:nvGraphicFramePr>
        <xdr:cNvPr id="2" name="Chart 1"/>
        <xdr:cNvGraphicFramePr/>
      </xdr:nvGraphicFramePr>
      <xdr:xfrm>
        <a:off x="0" y="18867755"/>
        <a:ext cx="8212455" cy="323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"/>
  <sheetViews>
    <sheetView workbookViewId="0">
      <pane xSplit="1" ySplit="5" topLeftCell="B45" activePane="bottomRight" state="frozen"/>
      <selection/>
      <selection pane="topRight"/>
      <selection pane="bottomLeft"/>
      <selection pane="bottomRight" activeCell="A2" sqref="A2"/>
    </sheetView>
  </sheetViews>
  <sheetFormatPr defaultColWidth="8.67619047619048" defaultRowHeight="15"/>
  <cols>
    <col min="1" max="1" width="66" customWidth="1"/>
    <col min="2" max="4" width="23" customWidth="1"/>
    <col min="5" max="13" width="14" customWidth="1"/>
  </cols>
  <sheetData>
    <row r="1" ht="18" spans="1:4">
      <c r="A1" s="1" t="s">
        <v>0</v>
      </c>
    </row>
    <row r="2" spans="1:4">
      <c r="A2" s="9" t="s">
        <v>1</v>
      </c>
    </row>
    <row r="3" spans="1:4">
      <c r="A3" s="9" t="s">
        <v>2</v>
      </c>
    </row>
    <row r="4" spans="1:4">
      <c r="A4" s="9" t="s">
        <v>3</v>
      </c>
    </row>
    <row r="6" spans="1:4">
      <c r="A6" s="2" t="s">
        <v>4</v>
      </c>
      <c r="B6" s="11" t="s">
        <v>5</v>
      </c>
      <c r="C6" s="11" t="s">
        <v>6</v>
      </c>
      <c r="D6" s="11" t="s">
        <v>7</v>
      </c>
    </row>
    <row r="7" spans="1:4">
      <c r="A7" s="4" t="s">
        <v>8</v>
      </c>
      <c r="B7" s="43" t="str">
        <f>Модель_Пессимист!C117</f>
        <v>не окупается</v>
      </c>
      <c r="C7" s="43" t="str">
        <f>Модель_База!C117</f>
        <v>не окупается</v>
      </c>
      <c r="D7" s="43">
        <f>Модель_Оптимист!C117</f>
        <v>7</v>
      </c>
    </row>
    <row r="8" spans="1:4">
      <c r="A8" s="4" t="s">
        <v>9</v>
      </c>
      <c r="B8" s="43" t="str">
        <f>Модель_Пессимист!C118</f>
        <v>не окупается</v>
      </c>
      <c r="C8" s="43" t="str">
        <f>Модель_База!C118</f>
        <v>не окупается</v>
      </c>
      <c r="D8" s="43">
        <f>Модель_Оптимист!C118</f>
        <v>7</v>
      </c>
    </row>
    <row r="9" spans="1:4">
      <c r="A9" s="6" t="s">
        <v>10</v>
      </c>
      <c r="B9" s="44" t="str">
        <f>Модель_Пессимист!C119</f>
        <v>н/д</v>
      </c>
      <c r="C9" s="44" t="str">
        <f>Модель_База!C119</f>
        <v>н/д</v>
      </c>
      <c r="D9" s="44">
        <f>Модель_Оптимист!C119</f>
        <v>21</v>
      </c>
    </row>
    <row r="10" spans="1:4">
      <c r="A10" s="4" t="s">
        <v>11</v>
      </c>
      <c r="B10" s="45">
        <f>Модель_Пессимист!C120</f>
        <v>478.110049462181</v>
      </c>
      <c r="C10" s="45">
        <f>Модель_База!C120</f>
        <v>170.256784346018</v>
      </c>
      <c r="D10" s="45">
        <f>Модель_Оптимист!C120</f>
        <v>146.932761709375</v>
      </c>
    </row>
    <row r="11" spans="1:4">
      <c r="A11" s="6" t="s">
        <v>12</v>
      </c>
      <c r="B11" s="46">
        <f>Модель_Пессимист!C121</f>
        <v>0.0478110049462181</v>
      </c>
      <c r="C11" s="46">
        <f>Модель_База!C121</f>
        <v>0.0170256784346018</v>
      </c>
      <c r="D11" s="46">
        <f>Модель_Оптимист!C121</f>
        <v>0.0146932761709375</v>
      </c>
    </row>
    <row r="12" spans="1:4">
      <c r="A12" s="6" t="s">
        <v>13</v>
      </c>
      <c r="B12" s="47">
        <f>Модель_Пессимист!C122</f>
        <v>58.0378704039927</v>
      </c>
      <c r="C12" s="47">
        <f>Модель_База!C122</f>
        <v>630.448768993808</v>
      </c>
      <c r="D12" s="47">
        <f>Модель_Оптимист!C122</f>
        <v>2301.86435982185</v>
      </c>
    </row>
    <row r="13" spans="1:4">
      <c r="A13" s="6" t="s">
        <v>14</v>
      </c>
      <c r="B13" s="47">
        <f>Модель_Пессимист!C123</f>
        <v>527.442239305575</v>
      </c>
      <c r="C13" s="47">
        <f>Модель_База!C123</f>
        <v>642.26951273716</v>
      </c>
      <c r="D13" s="47">
        <f>Модель_Оптимист!C123</f>
        <v>927.36705501</v>
      </c>
    </row>
    <row r="14" spans="1:4">
      <c r="A14" s="4" t="s">
        <v>15</v>
      </c>
      <c r="B14" s="45">
        <f>Модель_Пессимист!C124</f>
        <v>-478.110049462181</v>
      </c>
      <c r="C14" s="45">
        <f>Модель_База!C124</f>
        <v>-106.388059092423</v>
      </c>
      <c r="D14" s="45">
        <f>Модель_Оптимист!C124</f>
        <v>1029.21765083857</v>
      </c>
    </row>
    <row r="15" spans="1:4">
      <c r="A15" s="6" t="s">
        <v>16</v>
      </c>
      <c r="B15" s="47">
        <f>Модель_Пессимист!C125</f>
        <v>-381.439825004924</v>
      </c>
      <c r="C15" s="47">
        <f>Модель_База!C125</f>
        <v>-106.500668983304</v>
      </c>
      <c r="D15" s="47">
        <f>Модель_Оптимист!C125</f>
        <v>714.177752570275</v>
      </c>
    </row>
    <row r="16" spans="1:4">
      <c r="A16" s="6" t="s">
        <v>17</v>
      </c>
      <c r="B16" s="46">
        <f>Модель_Пессимист!C126</f>
        <v>-0.906469019416526</v>
      </c>
      <c r="C16" s="46">
        <f>Модель_База!C126</f>
        <v>-0.165643950059266</v>
      </c>
      <c r="D16" s="46">
        <f>Модель_Оптимист!C126</f>
        <v>1.10982770552214</v>
      </c>
    </row>
    <row r="17" spans="1:5">
      <c r="A17" s="6" t="s">
        <v>18</v>
      </c>
      <c r="B17" s="47">
        <f>Модель_Пессимист!C127</f>
        <v>-164.154600676603</v>
      </c>
      <c r="C17" s="47">
        <f>Модель_База!C127</f>
        <v>66.66707228182</v>
      </c>
      <c r="D17" s="47">
        <f>Модель_Оптимист!C127</f>
        <v>844.393608944897</v>
      </c>
    </row>
    <row r="18" spans="1:5">
      <c r="A18" s="6" t="s">
        <v>19</v>
      </c>
      <c r="B18" s="44">
        <f>Модель_Пессимист!C128</f>
        <v>1476.00506375</v>
      </c>
      <c r="C18" s="44">
        <f>Модель_База!C128</f>
        <v>10264.776644</v>
      </c>
      <c r="D18" s="44">
        <f>Модель_Оптимист!C128</f>
        <v>18045.687</v>
      </c>
    </row>
    <row r="19" spans="1:5">
      <c r="A19" s="6" t="s">
        <v>20</v>
      </c>
      <c r="B19" s="44">
        <f>Модель_Пессимист!C129</f>
        <v>216.97274437125</v>
      </c>
      <c r="C19" s="44">
        <f>Модель_База!C129</f>
        <v>1992.00821747625</v>
      </c>
      <c r="D19" s="44">
        <f>Модель_Оптимист!C129</f>
        <v>6600.21002025</v>
      </c>
    </row>
    <row r="20" spans="1:5">
      <c r="A20" s="4" t="s">
        <v>21</v>
      </c>
      <c r="B20" s="48">
        <f>Модель_Пессимист!C135</f>
        <v>0.388184404384709</v>
      </c>
      <c r="C20" s="48">
        <f>Модель_База!C135</f>
        <v>0.0605076919814619</v>
      </c>
      <c r="D20" s="48">
        <f>Модель_Оптимист!C135</f>
        <v>0.0285310370007428</v>
      </c>
    </row>
    <row r="21" spans="1:5">
      <c r="A21" s="4" t="s">
        <v>22</v>
      </c>
      <c r="B21" s="48">
        <f>Модель_Пессимист!C134</f>
        <v>0.426949012449617</v>
      </c>
      <c r="C21" s="48">
        <f>Модель_База!C134</f>
        <v>0.0644616922039176</v>
      </c>
      <c r="D21" s="48">
        <f>Модель_Оптимист!C134</f>
        <v>0.0310616887536098</v>
      </c>
    </row>
    <row r="22" spans="1:5">
      <c r="A22" s="6" t="s">
        <v>23</v>
      </c>
      <c r="B22" s="46">
        <f>Модель_Пессимист!C132</f>
        <v>0.04</v>
      </c>
      <c r="C22" s="46">
        <f>Модель_База!C132</f>
        <v>0.05</v>
      </c>
      <c r="D22" s="46">
        <f>Модель_Оптимист!C132</f>
        <v>0.08</v>
      </c>
    </row>
    <row r="24" spans="1:5">
      <c r="A24" s="4" t="s">
        <v>24</v>
      </c>
    </row>
    <row r="25" spans="1:5">
      <c r="A25" s="6" t="s">
        <v>25</v>
      </c>
      <c r="B25" s="49" t="str">
        <f>IF(B10&lt;=Допущения!$C$6,"ОК","Превышен лимит")</f>
        <v>ОК</v>
      </c>
      <c r="C25" s="49" t="str">
        <f>IF(C10&lt;=Допущения!$C$6,"ОК","Превышен лимит")</f>
        <v>ОК</v>
      </c>
      <c r="D25" s="49" t="str">
        <f>IF(D10&lt;=Допущения!$C$6,"ОК","Превышен лимит")</f>
        <v>ОК</v>
      </c>
    </row>
    <row r="26" spans="1:5">
      <c r="A26" s="6" t="s">
        <v>26</v>
      </c>
      <c r="B26" s="49" t="str">
        <f>IF(ISNUMBER(B7),IF(B7&lt;=Допущения!$C$7,"ОК","Дольше 3 лет"),"Не окупается за 3 года")</f>
        <v>Не окупается за 3 года</v>
      </c>
      <c r="C26" s="49" t="str">
        <f>IF(ISNUMBER(C7),IF(C7&lt;=Допущения!$C$7,"ОК","Дольше 3 лет"),"Не окупается за 3 года")</f>
        <v>Не окупается за 3 года</v>
      </c>
      <c r="D26" s="49" t="str">
        <f>IF(ISNUMBER(D7),IF(D7&lt;=Допущения!$C$7,"ОК","Дольше 3 лет"),"Не окупается за 3 года")</f>
        <v>ОК</v>
      </c>
    </row>
    <row r="27" spans="1:5">
      <c r="A27" s="6" t="s">
        <v>27</v>
      </c>
      <c r="B27" s="49" t="str">
        <f>IF(ISNUMBER(B8),IF(B8&lt;=Допущения!$C$7,"ОК","Дольше 3 лет"),"Не окупается за 3 года")</f>
        <v>Не окупается за 3 года</v>
      </c>
      <c r="C27" s="49" t="str">
        <f>IF(ISNUMBER(C8),IF(C8&lt;=Допущения!$C$7,"ОК","Дольше 3 лет"),"Не окупается за 3 года")</f>
        <v>Не окупается за 3 года</v>
      </c>
      <c r="D27" s="49" t="str">
        <f>IF(ISNUMBER(D8),IF(D8&lt;=Допущения!$C$7,"ОК","Дольше 3 лет"),"Не окупается за 3 года")</f>
        <v>ОК</v>
      </c>
    </row>
    <row r="28" spans="1:5">
      <c r="A28" s="6" t="s">
        <v>28</v>
      </c>
      <c r="B28" s="49" t="str">
        <f>IF(B19&gt;=0,"ОК","Сделки падают")</f>
        <v>ОК</v>
      </c>
      <c r="C28" s="49" t="str">
        <f>IF(C19&gt;=0,"ОК","Сделки падают")</f>
        <v>ОК</v>
      </c>
      <c r="D28" s="49" t="str">
        <f>IF(D19&gt;=0,"ОК","Сделки падают")</f>
        <v>ОК</v>
      </c>
    </row>
    <row r="30" spans="1:5">
      <c r="A30" s="2" t="s">
        <v>29</v>
      </c>
      <c r="B30" s="11" t="s">
        <v>30</v>
      </c>
      <c r="C30" s="11" t="s">
        <v>31</v>
      </c>
      <c r="D30" s="11" t="s">
        <v>32</v>
      </c>
      <c r="E30" s="11" t="s">
        <v>33</v>
      </c>
    </row>
    <row r="31" spans="1:5">
      <c r="A31" s="6" t="s">
        <v>34</v>
      </c>
      <c r="B31" s="18">
        <f>Модель_Пессимист!Q84</f>
        <v>0.992634496875</v>
      </c>
      <c r="C31" s="18">
        <f>Модель_Пессимист!R84</f>
        <v>13.23230313132</v>
      </c>
      <c r="D31" s="18">
        <f>Модель_Пессимист!S84</f>
        <v>37.9672583417946</v>
      </c>
      <c r="E31" s="18">
        <f>Модель_Пессимист!T84</f>
        <v>52.1921959699896</v>
      </c>
    </row>
    <row r="32" spans="1:5">
      <c r="A32" s="6" t="s">
        <v>35</v>
      </c>
      <c r="B32" s="18">
        <f>Модель_Пессимист!Q85</f>
        <v>0</v>
      </c>
      <c r="C32" s="18">
        <f>Модель_Пессимист!R85</f>
        <v>0.022598753625</v>
      </c>
      <c r="D32" s="18">
        <f>Модель_Пессимист!S85</f>
        <v>0.095471630926875</v>
      </c>
      <c r="E32" s="18">
        <f>Модель_Пессимист!T85</f>
        <v>0.118070384551875</v>
      </c>
    </row>
    <row r="33" spans="1:5">
      <c r="A33" s="6" t="s">
        <v>36</v>
      </c>
      <c r="B33" s="18">
        <f>Модель_Пессимист!Q86</f>
        <v>0</v>
      </c>
      <c r="C33" s="18">
        <f>Модель_Пессимист!R86</f>
        <v>0.058756759425</v>
      </c>
      <c r="D33" s="18">
        <f>Модель_Пессимист!S86</f>
        <v>0.25815529002627</v>
      </c>
      <c r="E33" s="18">
        <f>Модель_Пессимист!T86</f>
        <v>0.31691204945127</v>
      </c>
    </row>
    <row r="34" spans="1:5">
      <c r="A34" s="6" t="s">
        <v>37</v>
      </c>
      <c r="B34" s="18">
        <f>Модель_Пессимист!Q89</f>
        <v>0.115668</v>
      </c>
      <c r="C34" s="18">
        <f>Модель_Пессимист!R89</f>
        <v>1.439424</v>
      </c>
      <c r="D34" s="18">
        <f>Модель_Пессимист!S89</f>
        <v>3.8556</v>
      </c>
      <c r="E34" s="18">
        <f>Модель_Пессимист!T89</f>
        <v>5.410692</v>
      </c>
    </row>
    <row r="35" spans="1:5">
      <c r="A35" s="6" t="s">
        <v>38</v>
      </c>
      <c r="B35" s="18">
        <f>Модель_Пессимист!Q90</f>
        <v>0</v>
      </c>
      <c r="C35" s="18">
        <f>Модель_Пессимист!R90</f>
        <v>0</v>
      </c>
      <c r="D35" s="18">
        <f>Модель_Пессимист!S90</f>
        <v>0</v>
      </c>
      <c r="E35" s="18">
        <f>Модель_Пессимист!T90</f>
        <v>0</v>
      </c>
    </row>
    <row r="36" spans="1:5">
      <c r="A36" s="24" t="s">
        <v>39</v>
      </c>
      <c r="B36" s="50">
        <f>Модель_Пессимист!Q91</f>
        <v>1.108302496875</v>
      </c>
      <c r="C36" s="50">
        <f>Модель_Пессимист!R91</f>
        <v>14.75308264437</v>
      </c>
      <c r="D36" s="50">
        <f>Модель_Пессимист!S91</f>
        <v>42.1764852627477</v>
      </c>
      <c r="E36" s="50">
        <f>Модель_Пессимист!T91</f>
        <v>58.0378704039927</v>
      </c>
    </row>
    <row r="37" spans="1:5">
      <c r="A37" s="24" t="s">
        <v>40</v>
      </c>
      <c r="B37" s="50">
        <f>Модель_Пессимист!Q92</f>
        <v>0.94205712234375</v>
      </c>
      <c r="C37" s="50">
        <f>Модель_Пессимист!R92</f>
        <v>12.5401202477145</v>
      </c>
      <c r="D37" s="50">
        <f>Модель_Пессимист!S92</f>
        <v>35.8500124733356</v>
      </c>
      <c r="E37" s="50">
        <f>Модель_Пессимист!T92</f>
        <v>49.3321898433938</v>
      </c>
    </row>
    <row r="38" spans="1:5">
      <c r="A38" s="6" t="s">
        <v>41</v>
      </c>
      <c r="B38" s="18">
        <f>Модель_Пессимист!Q96</f>
        <v>81</v>
      </c>
      <c r="C38" s="18">
        <f>Модель_Пессимист!R96</f>
        <v>110.808</v>
      </c>
      <c r="D38" s="18">
        <f>Модель_Пессимист!S96</f>
        <v>125.9712</v>
      </c>
      <c r="E38" s="18">
        <f>Модель_Пессимист!T96</f>
        <v>317.7792</v>
      </c>
    </row>
    <row r="39" spans="1:5">
      <c r="A39" s="6" t="s">
        <v>42</v>
      </c>
      <c r="B39" s="18">
        <f>Модель_Пессимист!Q98+Модель_Пессимист!Q99</f>
        <v>0.198076725</v>
      </c>
      <c r="C39" s="18">
        <f>Модель_Пессимист!R98+Модель_Пессимист!R99</f>
        <v>2.538903444</v>
      </c>
      <c r="D39" s="18">
        <f>Модель_Пессимист!S98+Модель_Пессимист!S99</f>
        <v>7.00465325175</v>
      </c>
      <c r="E39" s="18">
        <f>Модель_Пессимист!T98+Модель_Пессимист!T99</f>
        <v>9.74163342075</v>
      </c>
    </row>
    <row r="40" spans="1:5">
      <c r="A40" s="6" t="s">
        <v>43</v>
      </c>
      <c r="B40" s="18">
        <f>Модель_Пессимист!Q100</f>
        <v>7.56002325</v>
      </c>
      <c r="C40" s="18">
        <f>Модель_Пессимист!R100</f>
        <v>10.76936468</v>
      </c>
      <c r="D40" s="18">
        <f>Модель_Пессимист!S100</f>
        <v>12.1226221975</v>
      </c>
      <c r="E40" s="18">
        <f>Модель_Пессимист!T100</f>
        <v>30.4520101275</v>
      </c>
    </row>
    <row r="41" spans="1:5">
      <c r="A41" s="6" t="s">
        <v>44</v>
      </c>
      <c r="B41" s="18">
        <f>Модель_Пессимист!Q101</f>
        <v>0.6002325</v>
      </c>
      <c r="C41" s="18">
        <f>Модель_Пессимист!R101</f>
        <v>7.6936468</v>
      </c>
      <c r="D41" s="18">
        <f>Модель_Пессимист!S101</f>
        <v>21.226221975</v>
      </c>
      <c r="E41" s="18">
        <f>Модель_Пессимист!T101</f>
        <v>29.520101275</v>
      </c>
    </row>
    <row r="42" spans="1:5">
      <c r="A42" s="6" t="s">
        <v>45</v>
      </c>
      <c r="B42" s="18">
        <f>Модель_Пессимист!Q102</f>
        <v>60</v>
      </c>
      <c r="C42" s="18">
        <f>Модель_Пессимист!R102</f>
        <v>16</v>
      </c>
      <c r="D42" s="18">
        <f>Модель_Пессимист!S102</f>
        <v>16</v>
      </c>
      <c r="E42" s="18">
        <f>Модель_Пессимист!T102</f>
        <v>92</v>
      </c>
    </row>
    <row r="43" spans="1:5">
      <c r="A43" s="6" t="s">
        <v>46</v>
      </c>
      <c r="B43" s="18">
        <f>Модель_Пессимист!Q104</f>
        <v>14.9358332475</v>
      </c>
      <c r="C43" s="18">
        <f>Модель_Пессимист!R104</f>
        <v>14.7809914924</v>
      </c>
      <c r="D43" s="18">
        <f>Модель_Пессимист!S104</f>
        <v>18.232469742425</v>
      </c>
      <c r="E43" s="18">
        <f>Модель_Пессимист!T104</f>
        <v>47.949294482325</v>
      </c>
    </row>
    <row r="44" spans="1:5">
      <c r="A44" s="24" t="s">
        <v>47</v>
      </c>
      <c r="B44" s="50">
        <f>Модель_Пессимист!Q105</f>
        <v>164.2941657225</v>
      </c>
      <c r="C44" s="50">
        <f>Модель_Пессимист!R105</f>
        <v>162.5909064164</v>
      </c>
      <c r="D44" s="50">
        <f>Модель_Пессимист!S105</f>
        <v>200.557167166675</v>
      </c>
      <c r="E44" s="50">
        <f>Модель_Пессимист!T105</f>
        <v>527.442239305575</v>
      </c>
    </row>
    <row r="45" spans="1:5">
      <c r="A45" s="24" t="s">
        <v>48</v>
      </c>
      <c r="B45" s="50">
        <f>Модель_Пессимист!Q108</f>
        <v>-163.352108600156</v>
      </c>
      <c r="C45" s="50">
        <f>Модель_Пессимист!R108</f>
        <v>-150.050786168686</v>
      </c>
      <c r="D45" s="50">
        <f>Модель_Пессимист!S108</f>
        <v>-164.707154693339</v>
      </c>
      <c r="E45" s="50">
        <f>Модель_Пессимист!T108</f>
        <v>-478.110049462181</v>
      </c>
    </row>
    <row r="47" spans="1:5">
      <c r="A47" s="2" t="s">
        <v>49</v>
      </c>
      <c r="B47" s="11" t="s">
        <v>30</v>
      </c>
      <c r="C47" s="11" t="s">
        <v>31</v>
      </c>
      <c r="D47" s="11" t="s">
        <v>32</v>
      </c>
      <c r="E47" s="11" t="s">
        <v>33</v>
      </c>
    </row>
    <row r="48" spans="1:5">
      <c r="A48" s="6" t="s">
        <v>34</v>
      </c>
      <c r="B48" s="18">
        <f>Модель_База!Q84</f>
        <v>11.62531794375</v>
      </c>
      <c r="C48" s="18">
        <f>Модель_База!R84</f>
        <v>169.816710389906</v>
      </c>
      <c r="D48" s="18">
        <f>Модель_База!S84</f>
        <v>366.487188034181</v>
      </c>
      <c r="E48" s="18">
        <f>Модель_База!T84</f>
        <v>547.929216367837</v>
      </c>
    </row>
    <row r="49" spans="1:5">
      <c r="A49" s="6" t="s">
        <v>35</v>
      </c>
      <c r="B49" s="18">
        <f>Модель_База!Q85</f>
        <v>0</v>
      </c>
      <c r="C49" s="18">
        <f>Модель_База!R85</f>
        <v>1.11519498528</v>
      </c>
      <c r="D49" s="18">
        <f>Модель_База!S85</f>
        <v>3.85515124416</v>
      </c>
      <c r="E49" s="18">
        <f>Модель_База!T85</f>
        <v>4.97034622944</v>
      </c>
    </row>
    <row r="50" spans="1:5">
      <c r="A50" s="6" t="s">
        <v>36</v>
      </c>
      <c r="B50" s="18">
        <f>Модель_База!Q86</f>
        <v>0</v>
      </c>
      <c r="C50" s="18">
        <f>Модель_База!R86</f>
        <v>2.46272225916</v>
      </c>
      <c r="D50" s="18">
        <f>Модель_База!S86</f>
        <v>9.0242665373712</v>
      </c>
      <c r="E50" s="18">
        <f>Модель_База!T86</f>
        <v>11.4869887965312</v>
      </c>
    </row>
    <row r="51" spans="1:5">
      <c r="A51" s="6" t="s">
        <v>37</v>
      </c>
      <c r="B51" s="18">
        <f>Модель_База!Q89</f>
        <v>1.9123776</v>
      </c>
      <c r="C51" s="18">
        <f>Модель_База!R89</f>
        <v>23.02344</v>
      </c>
      <c r="D51" s="18">
        <f>Модель_База!S89</f>
        <v>41.1264</v>
      </c>
      <c r="E51" s="18">
        <f>Модель_База!T89</f>
        <v>66.0622176</v>
      </c>
    </row>
    <row r="52" spans="1:5">
      <c r="A52" s="6" t="s">
        <v>38</v>
      </c>
      <c r="B52" s="18">
        <f>Модель_База!Q90</f>
        <v>0</v>
      </c>
      <c r="C52" s="18">
        <f>Модель_База!R90</f>
        <v>0</v>
      </c>
      <c r="D52" s="18">
        <f>Модель_База!S90</f>
        <v>0</v>
      </c>
      <c r="E52" s="18">
        <f>Модель_База!T90</f>
        <v>0</v>
      </c>
    </row>
    <row r="53" spans="1:5">
      <c r="A53" s="24" t="s">
        <v>39</v>
      </c>
      <c r="B53" s="50">
        <f>Модель_База!Q91</f>
        <v>13.53769554375</v>
      </c>
      <c r="C53" s="50">
        <f>Модель_База!R91</f>
        <v>196.418067634346</v>
      </c>
      <c r="D53" s="50">
        <f>Модель_База!S91</f>
        <v>420.493005815712</v>
      </c>
      <c r="E53" s="50">
        <f>Модель_База!T91</f>
        <v>630.448768993808</v>
      </c>
    </row>
    <row r="54" spans="1:5">
      <c r="A54" s="24" t="s">
        <v>40</v>
      </c>
      <c r="B54" s="50">
        <f>Модель_База!Q92</f>
        <v>11.5070412121875</v>
      </c>
      <c r="C54" s="50">
        <f>Модель_База!R92</f>
        <v>166.955357489194</v>
      </c>
      <c r="D54" s="50">
        <f>Модель_База!S92</f>
        <v>357.419054943355</v>
      </c>
      <c r="E54" s="50">
        <f>Модель_База!T92</f>
        <v>535.881453644737</v>
      </c>
    </row>
    <row r="55" spans="1:5">
      <c r="A55" s="6" t="s">
        <v>41</v>
      </c>
      <c r="B55" s="18">
        <f>Модель_База!Q96</f>
        <v>68.85</v>
      </c>
      <c r="C55" s="18">
        <f>Модель_База!R96</f>
        <v>94.1868</v>
      </c>
      <c r="D55" s="18">
        <f>Модель_База!S96</f>
        <v>107.07552</v>
      </c>
      <c r="E55" s="18">
        <f>Модель_База!T96</f>
        <v>270.11232</v>
      </c>
    </row>
    <row r="56" spans="1:5">
      <c r="A56" s="6" t="s">
        <v>42</v>
      </c>
      <c r="B56" s="18">
        <f>Модель_База!Q98+Модель_База!Q99</f>
        <v>1.293948432</v>
      </c>
      <c r="C56" s="18">
        <f>Модель_База!R98+Модель_База!R99</f>
        <v>17.831451132</v>
      </c>
      <c r="D56" s="18">
        <f>Модель_База!S98+Модель_База!S99</f>
        <v>36.3043943136</v>
      </c>
      <c r="E56" s="18">
        <f>Модель_База!T98+Модель_База!T99</f>
        <v>55.4297938776</v>
      </c>
    </row>
    <row r="57" spans="1:5">
      <c r="A57" s="6" t="s">
        <v>43</v>
      </c>
      <c r="B57" s="18">
        <f>Модель_База!Q100</f>
        <v>7.97924016</v>
      </c>
      <c r="C57" s="18">
        <f>Модель_База!R100</f>
        <v>16.60424116</v>
      </c>
      <c r="D57" s="18">
        <f>Модель_База!S100</f>
        <v>23.446071968</v>
      </c>
      <c r="E57" s="18">
        <f>Модель_База!T100</f>
        <v>48.029553288</v>
      </c>
    </row>
    <row r="58" spans="1:5">
      <c r="A58" s="6" t="s">
        <v>44</v>
      </c>
      <c r="B58" s="18">
        <f>Модель_База!Q101</f>
        <v>2.995251</v>
      </c>
      <c r="C58" s="18">
        <f>Модель_База!R101</f>
        <v>41.27650725</v>
      </c>
      <c r="D58" s="18">
        <f>Модель_База!S101</f>
        <v>84.0379498</v>
      </c>
      <c r="E58" s="18">
        <f>Модель_База!T101</f>
        <v>128.30970805</v>
      </c>
    </row>
    <row r="59" spans="1:5">
      <c r="A59" s="6" t="s">
        <v>45</v>
      </c>
      <c r="B59" s="18">
        <f>Модель_База!Q102</f>
        <v>50</v>
      </c>
      <c r="C59" s="18">
        <f>Модель_База!R102</f>
        <v>16</v>
      </c>
      <c r="D59" s="18">
        <f>Модель_База!S102</f>
        <v>16</v>
      </c>
      <c r="E59" s="18">
        <f>Модель_База!T102</f>
        <v>82</v>
      </c>
    </row>
    <row r="60" spans="1:5">
      <c r="A60" s="6" t="s">
        <v>46</v>
      </c>
      <c r="B60" s="18">
        <f>Модель_База!Q104</f>
        <v>13.1118439592</v>
      </c>
      <c r="C60" s="18">
        <f>Модель_База!R104</f>
        <v>18.5898999542</v>
      </c>
      <c r="D60" s="18">
        <f>Модель_База!S104</f>
        <v>26.68639360816</v>
      </c>
      <c r="E60" s="18">
        <f>Модель_База!T104</f>
        <v>58.38813752156</v>
      </c>
    </row>
    <row r="61" spans="1:5">
      <c r="A61" s="24" t="s">
        <v>47</v>
      </c>
      <c r="B61" s="50">
        <f>Модель_База!Q105</f>
        <v>144.2302835512</v>
      </c>
      <c r="C61" s="50">
        <f>Модель_База!R105</f>
        <v>204.4888994962</v>
      </c>
      <c r="D61" s="50">
        <f>Модель_База!S105</f>
        <v>293.55032968976</v>
      </c>
      <c r="E61" s="50">
        <f>Модель_База!T105</f>
        <v>642.26951273716</v>
      </c>
    </row>
    <row r="62" spans="1:5">
      <c r="A62" s="24" t="s">
        <v>48</v>
      </c>
      <c r="B62" s="50">
        <f>Модель_База!Q108</f>
        <v>-132.723242339013</v>
      </c>
      <c r="C62" s="50">
        <f>Модель_База!R108</f>
        <v>-37.5335420070057</v>
      </c>
      <c r="D62" s="50">
        <f>Модель_База!S108</f>
        <v>63.868725253595</v>
      </c>
      <c r="E62" s="50">
        <f>Модель_База!T108</f>
        <v>-106.388059092423</v>
      </c>
    </row>
    <row r="64" spans="1:5">
      <c r="A64" s="2" t="s">
        <v>50</v>
      </c>
      <c r="B64" s="11" t="s">
        <v>30</v>
      </c>
      <c r="C64" s="11" t="s">
        <v>31</v>
      </c>
      <c r="D64" s="11" t="s">
        <v>32</v>
      </c>
      <c r="E64" s="11" t="s">
        <v>33</v>
      </c>
    </row>
    <row r="65" spans="1:5">
      <c r="A65" s="6" t="s">
        <v>34</v>
      </c>
      <c r="B65" s="18">
        <f>Модель_Оптимист!Q84</f>
        <v>46.0913578125</v>
      </c>
      <c r="C65" s="18">
        <f>Модель_Оптимист!R84</f>
        <v>598.92899682</v>
      </c>
      <c r="D65" s="18">
        <f>Модель_Оптимист!S84</f>
        <v>1195.52109088913</v>
      </c>
      <c r="E65" s="18">
        <f>Модель_Оптимист!T84</f>
        <v>1840.54144552163</v>
      </c>
    </row>
    <row r="66" spans="1:5">
      <c r="A66" s="6" t="s">
        <v>35</v>
      </c>
      <c r="B66" s="18">
        <f>Модель_Оптимист!Q85</f>
        <v>0</v>
      </c>
      <c r="C66" s="18">
        <f>Модель_Оптимист!R85</f>
        <v>7.8513435</v>
      </c>
      <c r="D66" s="18">
        <f>Модель_Оптимист!S85</f>
        <v>24.529861125</v>
      </c>
      <c r="E66" s="18">
        <f>Модель_Оптимист!T85</f>
        <v>32.381204625</v>
      </c>
    </row>
    <row r="67" spans="1:5">
      <c r="A67" s="6" t="s">
        <v>36</v>
      </c>
      <c r="B67" s="18">
        <f>Модель_Оптимист!Q86</f>
        <v>0</v>
      </c>
      <c r="C67" s="18">
        <f>Модель_Оптимист!R86</f>
        <v>13.441500072</v>
      </c>
      <c r="D67" s="18">
        <f>Модель_Оптимист!S86</f>
        <v>44.93478080322</v>
      </c>
      <c r="E67" s="18">
        <f>Модель_Оптимист!T86</f>
        <v>58.37628087522</v>
      </c>
    </row>
    <row r="68" spans="1:5">
      <c r="A68" s="6" t="s">
        <v>37</v>
      </c>
      <c r="B68" s="18">
        <f>Модель_Оптимист!Q89</f>
        <v>8.664084</v>
      </c>
      <c r="C68" s="18">
        <f>Модель_Оптимист!R89</f>
        <v>88.1515008</v>
      </c>
      <c r="D68" s="18">
        <f>Модель_Оптимист!S89</f>
        <v>138.625344</v>
      </c>
      <c r="E68" s="18">
        <f>Модель_Оптимист!T89</f>
        <v>235.4409288</v>
      </c>
    </row>
    <row r="69" spans="1:5">
      <c r="A69" s="6" t="s">
        <v>38</v>
      </c>
      <c r="B69" s="18">
        <f>Модель_Оптимист!Q90</f>
        <v>4.9725</v>
      </c>
      <c r="C69" s="18">
        <f>Модель_Оптимист!R90</f>
        <v>50.592</v>
      </c>
      <c r="D69" s="18">
        <f>Модель_Оптимист!S90</f>
        <v>79.56</v>
      </c>
      <c r="E69" s="18">
        <f>Модель_Оптимист!T90</f>
        <v>135.1245</v>
      </c>
    </row>
    <row r="70" spans="1:5">
      <c r="A70" s="24" t="s">
        <v>39</v>
      </c>
      <c r="B70" s="50">
        <f>Модель_Оптимист!Q91</f>
        <v>59.7279418125</v>
      </c>
      <c r="C70" s="50">
        <f>Модель_Оптимист!R91</f>
        <v>758.965341192</v>
      </c>
      <c r="D70" s="50">
        <f>Модель_Оптимист!S91</f>
        <v>1483.17107681735</v>
      </c>
      <c r="E70" s="50">
        <f>Модель_Оптимист!T91</f>
        <v>2301.86435982185</v>
      </c>
    </row>
    <row r="71" spans="1:5">
      <c r="A71" s="24" t="s">
        <v>40</v>
      </c>
      <c r="B71" s="50">
        <f>Модель_Оптимист!Q92</f>
        <v>50.768750540625</v>
      </c>
      <c r="C71" s="50">
        <f>Модель_Оптимист!R92</f>
        <v>645.1205400132</v>
      </c>
      <c r="D71" s="50">
        <f>Модель_Оптимист!S92</f>
        <v>1260.69541529474</v>
      </c>
      <c r="E71" s="50">
        <f>Модель_Оптимист!T92</f>
        <v>1956.58470584857</v>
      </c>
    </row>
    <row r="72" spans="1:5">
      <c r="A72" s="6" t="s">
        <v>41</v>
      </c>
      <c r="B72" s="18">
        <f>Модель_Оптимист!Q96</f>
        <v>81</v>
      </c>
      <c r="C72" s="18">
        <f>Модель_Оптимист!R96</f>
        <v>110.808</v>
      </c>
      <c r="D72" s="18">
        <f>Модель_Оптимист!S96</f>
        <v>125.9712</v>
      </c>
      <c r="E72" s="18">
        <f>Модель_Оптимист!T96</f>
        <v>317.7792</v>
      </c>
    </row>
    <row r="73" spans="1:5">
      <c r="A73" s="6" t="s">
        <v>42</v>
      </c>
      <c r="B73" s="18">
        <f>Модель_Оптимист!Q98+Модель_Оптимист!Q99</f>
        <v>2.41956</v>
      </c>
      <c r="C73" s="18">
        <f>Модель_Оптимист!R98+Модель_Оптимист!R99</f>
        <v>29.3838336</v>
      </c>
      <c r="D73" s="18">
        <f>Модель_Оптимист!S98+Модель_Оптимист!S99</f>
        <v>54.815904</v>
      </c>
      <c r="E73" s="18">
        <f>Модель_Оптимист!T98+Модель_Оптимист!T99</f>
        <v>86.6192976</v>
      </c>
    </row>
    <row r="74" spans="1:5">
      <c r="A74" s="6" t="s">
        <v>43</v>
      </c>
      <c r="B74" s="18">
        <f>Модель_Оптимист!Q100</f>
        <v>10.00815</v>
      </c>
      <c r="C74" s="18">
        <f>Модель_Оптимист!R100</f>
        <v>24.243264</v>
      </c>
      <c r="D74" s="18">
        <f>Модель_Оптимист!S100</f>
        <v>34.83996</v>
      </c>
      <c r="E74" s="18">
        <f>Модель_Оптимист!T100</f>
        <v>69.091374</v>
      </c>
    </row>
    <row r="75" spans="1:5">
      <c r="A75" s="6" t="s">
        <v>44</v>
      </c>
      <c r="B75" s="18">
        <f>Модель_Оптимист!Q101</f>
        <v>6.3009375</v>
      </c>
      <c r="C75" s="18">
        <f>Модель_Оптимист!R101</f>
        <v>76.5204</v>
      </c>
      <c r="D75" s="18">
        <f>Модель_Оптимист!S101</f>
        <v>142.74975</v>
      </c>
      <c r="E75" s="18">
        <f>Модель_Оптимист!T101</f>
        <v>225.5710875</v>
      </c>
    </row>
    <row r="76" spans="1:5">
      <c r="A76" s="6" t="s">
        <v>45</v>
      </c>
      <c r="B76" s="18">
        <f>Модель_Оптимист!Q102</f>
        <v>80</v>
      </c>
      <c r="C76" s="18">
        <f>Модель_Оптимист!R102</f>
        <v>32</v>
      </c>
      <c r="D76" s="18">
        <f>Модель_Оптимист!S102</f>
        <v>32</v>
      </c>
      <c r="E76" s="18">
        <f>Модель_Оптимист!T102</f>
        <v>144</v>
      </c>
    </row>
    <row r="77" spans="1:5">
      <c r="A77" s="6" t="s">
        <v>46</v>
      </c>
      <c r="B77" s="18">
        <f>Модель_Оптимист!Q104</f>
        <v>17.97286475</v>
      </c>
      <c r="C77" s="18">
        <f>Модель_Оптимист!R104</f>
        <v>27.29554976</v>
      </c>
      <c r="D77" s="18">
        <f>Модель_Оптимист!S104</f>
        <v>39.0376814</v>
      </c>
      <c r="E77" s="18">
        <f>Модель_Оптимист!T104</f>
        <v>84.30609591</v>
      </c>
    </row>
    <row r="78" spans="1:5">
      <c r="A78" s="24" t="s">
        <v>47</v>
      </c>
      <c r="B78" s="50">
        <f>Модель_Оптимист!Q105</f>
        <v>197.70151225</v>
      </c>
      <c r="C78" s="50">
        <f>Модель_Оптимист!R105</f>
        <v>300.25104736</v>
      </c>
      <c r="D78" s="50">
        <f>Модель_Оптимист!S105</f>
        <v>429.4144954</v>
      </c>
      <c r="E78" s="50">
        <f>Модель_Оптимист!T105</f>
        <v>927.36705501</v>
      </c>
    </row>
    <row r="79" spans="1:5">
      <c r="A79" s="24" t="s">
        <v>48</v>
      </c>
      <c r="B79" s="50">
        <f>Модель_Оптимист!Q108</f>
        <v>-146.932761709375</v>
      </c>
      <c r="C79" s="50">
        <f>Модель_Оптимист!R108</f>
        <v>344.8694926532</v>
      </c>
      <c r="D79" s="50">
        <f>Модель_Оптимист!S108</f>
        <v>831.280919894744</v>
      </c>
      <c r="E79" s="50">
        <f>Модель_Оптимист!T108</f>
        <v>1029.21765083857</v>
      </c>
    </row>
    <row r="81" spans="1:13">
      <c r="A81" s="2" t="s">
        <v>51</v>
      </c>
      <c r="B81" s="2"/>
      <c r="C81" s="2"/>
      <c r="D81" s="2"/>
      <c r="E81" s="2"/>
    </row>
    <row r="82" spans="1:13">
      <c r="A82" s="4" t="s">
        <v>52</v>
      </c>
      <c r="B82" s="39" t="s">
        <v>5</v>
      </c>
      <c r="C82" s="39" t="s">
        <v>6</v>
      </c>
      <c r="D82" s="39" t="s">
        <v>7</v>
      </c>
    </row>
    <row r="83" spans="1:13">
      <c r="A83" s="51">
        <v>0.01</v>
      </c>
      <c r="B83" s="18">
        <f>IF(Модель_Пессимист!$C$130&gt;0,Модель_Пессимист!$O$109+Модель_Пессимист!$C$131*(($A83*Модель_Пессимист!$C$32-Модель_Пессимист!$C$31)/Модель_Пессимист!$C$130-1),"н/д")</f>
        <v>-519.304604138494</v>
      </c>
      <c r="C83" s="18">
        <f>IF(Модель_База!$C$130&gt;0,Модель_База!$O$109+Модель_База!$C$131*(($A83*Модель_База!$C$32-Модель_База!$C$31)/Модель_База!$C$130-1),"н/д")</f>
        <v>-511.379219016477</v>
      </c>
      <c r="D83" s="18">
        <f>IF(Модель_Оптимист!$C$130&gt;0,Модель_Оптимист!$O$109+Модель_Оптимист!$C$131*(($A83*Модель_Оптимист!$C$32-Модель_Оптимист!$C$31)/Модель_Оптимист!$C$130-1),"н/д")</f>
        <v>-370.562553781825</v>
      </c>
    </row>
    <row r="84" spans="1:13">
      <c r="A84" s="51">
        <v>0.02</v>
      </c>
      <c r="B84" s="18">
        <f>IF(Модель_Пессимист!$C$130&gt;0,Модель_Пессимист!$O$109+Модель_Пессимист!$C$131*(($A84*Модель_Пессимист!$C$32-Модель_Пессимист!$C$31)/Модель_Пессимист!$C$130-1),"н/д")</f>
        <v>-505.573085913057</v>
      </c>
      <c r="C84" s="18">
        <f>IF(Модель_База!$C$130&gt;0,Модель_База!$O$109+Модель_База!$C$131*(($A84*Модель_База!$C$32-Модель_База!$C$31)/Модель_База!$C$130-1),"н/д")</f>
        <v>-410.131429035463</v>
      </c>
      <c r="D84" s="18">
        <f>IF(Модель_Оптимист!$C$130&gt;0,Модель_Оптимист!$O$109+Модель_Оптимист!$C$131*(($A84*Модель_Оптимист!$C$32-Модель_Оптимист!$C$31)/Модель_Оптимист!$C$130-1),"н/д")</f>
        <v>-170.593953121769</v>
      </c>
    </row>
    <row r="85" spans="1:13">
      <c r="A85" s="51">
        <v>0.03</v>
      </c>
      <c r="B85" s="18">
        <f>IF(Модель_Пессимист!$C$130&gt;0,Модель_Пессимист!$O$109+Модель_Пессимист!$C$131*(($A85*Модель_Пессимист!$C$32-Модель_Пессимист!$C$31)/Модель_Пессимист!$C$130-1),"н/д")</f>
        <v>-491.841567687619</v>
      </c>
      <c r="C85" s="18">
        <f>IF(Модель_База!$C$130&gt;0,Модель_База!$O$109+Модель_База!$C$131*(($A85*Модель_База!$C$32-Модель_База!$C$31)/Модель_База!$C$130-1),"н/д")</f>
        <v>-308.88363905445</v>
      </c>
      <c r="D85" s="18">
        <f>IF(Модель_Оптимист!$C$130&gt;0,Модель_Оптимист!$O$109+Модель_Оптимист!$C$131*(($A85*Модель_Оптимист!$C$32-Модель_Оптимист!$C$31)/Модель_Оптимист!$C$130-1),"н/д")</f>
        <v>29.374647538287</v>
      </c>
    </row>
    <row r="86" spans="1:13">
      <c r="A86" s="51">
        <v>0.04</v>
      </c>
      <c r="B86" s="18">
        <f>IF(Модель_Пессимист!$C$130&gt;0,Модель_Пессимист!$O$109+Модель_Пессимист!$C$131*(($A86*Модель_Пессимист!$C$32-Модель_Пессимист!$C$31)/Модель_Пессимист!$C$130-1),"н/д")</f>
        <v>-478.110049462181</v>
      </c>
      <c r="C86" s="18">
        <f>IF(Модель_База!$C$130&gt;0,Модель_База!$O$109+Модель_База!$C$131*(($A86*Модель_База!$C$32-Модель_База!$C$31)/Модель_База!$C$130-1),"н/д")</f>
        <v>-207.635849073437</v>
      </c>
      <c r="D86" s="18">
        <f>IF(Модель_Оптимист!$C$130&gt;0,Модель_Оптимист!$O$109+Модель_Оптимист!$C$131*(($A86*Модель_Оптимист!$C$32-Модель_Оптимист!$C$31)/Модель_Оптимист!$C$130-1),"н/д")</f>
        <v>229.343248198343</v>
      </c>
    </row>
    <row r="87" spans="1:13">
      <c r="A87" s="51">
        <v>0.05</v>
      </c>
      <c r="B87" s="18">
        <f>IF(Модель_Пессимист!$C$130&gt;0,Модель_Пессимист!$O$109+Модель_Пессимист!$C$131*(($A87*Модель_Пессимист!$C$32-Модель_Пессимист!$C$31)/Модель_Пессимист!$C$130-1),"н/д")</f>
        <v>-464.378531236744</v>
      </c>
      <c r="C87" s="18">
        <f>IF(Модель_База!$C$130&gt;0,Модель_База!$O$109+Модель_База!$C$131*(($A87*Модель_База!$C$32-Модель_База!$C$31)/Модель_База!$C$130-1),"н/д")</f>
        <v>-106.388059092423</v>
      </c>
      <c r="D87" s="18">
        <f>IF(Модель_Оптимист!$C$130&gt;0,Модель_Оптимист!$O$109+Модель_Оптимист!$C$131*(($A87*Модель_Оптимист!$C$32-Модель_Оптимист!$C$31)/Модель_Оптимист!$C$130-1),"н/д")</f>
        <v>429.3118488584</v>
      </c>
    </row>
    <row r="88" spans="1:13">
      <c r="A88" s="51">
        <v>0.06</v>
      </c>
      <c r="B88" s="18">
        <f>IF(Модель_Пессимист!$C$130&gt;0,Модель_Пессимист!$O$109+Модель_Пессимист!$C$131*(($A88*Модель_Пессимист!$C$32-Модель_Пессимист!$C$31)/Модель_Пессимист!$C$130-1),"н/д")</f>
        <v>-450.647013011306</v>
      </c>
      <c r="C88" s="18">
        <f>IF(Модель_База!$C$130&gt;0,Модель_База!$O$109+Модель_База!$C$131*(($A88*Модель_База!$C$32-Модель_База!$C$31)/Модель_База!$C$130-1),"н/д")</f>
        <v>-5.14026911140989</v>
      </c>
      <c r="D88" s="18">
        <f>IF(Модель_Оптимист!$C$130&gt;0,Модель_Оптимист!$O$109+Модель_Оптимист!$C$131*(($A88*Модель_Оптимист!$C$32-Модель_Оптимист!$C$31)/Модель_Оптимист!$C$130-1),"н/д")</f>
        <v>629.280449518456</v>
      </c>
    </row>
    <row r="89" spans="1:13">
      <c r="A89" s="51">
        <v>0.08</v>
      </c>
      <c r="B89" s="18">
        <f>IF(Модель_Пессимист!$C$130&gt;0,Модель_Пессимист!$O$109+Модель_Пессимист!$C$131*(($A89*Модель_Пессимист!$C$32-Модель_Пессимист!$C$31)/Модель_Пессимист!$C$130-1),"н/д")</f>
        <v>-423.18397656043</v>
      </c>
      <c r="C89" s="18">
        <f>IF(Модель_База!$C$130&gt;0,Модель_База!$O$109+Модель_База!$C$131*(($A89*Модель_База!$C$32-Модель_База!$C$31)/Модель_База!$C$130-1),"н/д")</f>
        <v>197.355310850617</v>
      </c>
      <c r="D89" s="18">
        <f>IF(Модель_Оптимист!$C$130&gt;0,Модель_Оптимист!$O$109+Модель_Оптимист!$C$131*(($A89*Модель_Оптимист!$C$32-Модель_Оптимист!$C$31)/Модель_Оптимист!$C$130-1),"н/д")</f>
        <v>1029.21765083857</v>
      </c>
    </row>
    <row r="90" spans="1:13">
      <c r="A90" s="51">
        <v>0.1</v>
      </c>
      <c r="B90" s="18">
        <f>IF(Модель_Пессимист!$C$130&gt;0,Модель_Пессимист!$O$109+Модель_Пессимист!$C$131*(($A90*Модель_Пессимист!$C$32-Модель_Пессимист!$C$31)/Модель_Пессимист!$C$130-1),"н/д")</f>
        <v>-395.720940109555</v>
      </c>
      <c r="C90" s="18">
        <f>IF(Модель_База!$C$130&gt;0,Модель_База!$O$109+Модель_База!$C$131*(($A90*Модель_База!$C$32-Модель_База!$C$31)/Модель_База!$C$130-1),"н/д")</f>
        <v>399.850890812644</v>
      </c>
      <c r="D90" s="18">
        <f>IF(Модель_Оптимист!$C$130&gt;0,Модель_Оптимист!$O$109+Модель_Оптимист!$C$131*(($A90*Модель_Оптимист!$C$32-Модель_Оптимист!$C$31)/Модель_Оптимист!$C$130-1),"н/д")</f>
        <v>1429.15485215868</v>
      </c>
    </row>
    <row r="91" spans="1:13">
      <c r="A91" s="9" t="s">
        <v>53</v>
      </c>
    </row>
    <row r="93" spans="1:13">
      <c r="A93" s="2" t="s">
        <v>54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4" t="s">
        <v>55</v>
      </c>
      <c r="B94" s="52" t="str">
        <f>Модель_Пессимист!D7</f>
        <v>Q1 2027</v>
      </c>
      <c r="C94" s="52" t="str">
        <f>Модель_Пессимист!E7</f>
        <v>Q2 2027</v>
      </c>
      <c r="D94" s="52" t="str">
        <f>Модель_Пессимист!F7</f>
        <v>Q3 2027</v>
      </c>
      <c r="E94" s="52" t="str">
        <f>Модель_Пессимист!G7</f>
        <v>Q4 2027</v>
      </c>
      <c r="F94" s="52" t="str">
        <f>Модель_Пессимист!H7</f>
        <v>Q1 2028</v>
      </c>
      <c r="G94" s="52" t="str">
        <f>Модель_Пессимист!I7</f>
        <v>Q2 2028</v>
      </c>
      <c r="H94" s="52" t="str">
        <f>Модель_Пессимист!J7</f>
        <v>Q3 2028</v>
      </c>
      <c r="I94" s="52" t="str">
        <f>Модель_Пессимист!K7</f>
        <v>Q4 2028</v>
      </c>
      <c r="J94" s="52" t="str">
        <f>Модель_Пессимист!L7</f>
        <v>Q1 2029</v>
      </c>
      <c r="K94" s="52" t="str">
        <f>Модель_Пессимист!M7</f>
        <v>Q2 2029</v>
      </c>
      <c r="L94" s="52" t="str">
        <f>Модель_Пессимист!N7</f>
        <v>Q3 2029</v>
      </c>
      <c r="M94" s="52" t="str">
        <f>Модель_Пессимист!O7</f>
        <v>Q4 2029</v>
      </c>
    </row>
    <row r="95" spans="1:13">
      <c r="A95" s="6" t="s">
        <v>5</v>
      </c>
      <c r="B95" s="18">
        <f>Модель_Пессимист!D109</f>
        <v>-22.275</v>
      </c>
      <c r="C95" s="18">
        <f>Модель_Пессимист!E109</f>
        <v>-47.3</v>
      </c>
      <c r="D95" s="18">
        <f>Модель_Пессимист!F109</f>
        <v>-105.325702866719</v>
      </c>
      <c r="E95" s="18">
        <f>Модель_Пессимист!G109</f>
        <v>-163.352108600156</v>
      </c>
      <c r="F95" s="18">
        <f>Модель_Пессимист!H109</f>
        <v>-200.917481478648</v>
      </c>
      <c r="G95" s="18">
        <f>Модель_Пессимист!I109</f>
        <v>-238.452374496004</v>
      </c>
      <c r="H95" s="18">
        <f>Модель_Пессимист!J109</f>
        <v>-275.94648370099</v>
      </c>
      <c r="I95" s="18">
        <f>Модель_Пессимист!K109</f>
        <v>-313.402894768842</v>
      </c>
      <c r="J95" s="18">
        <f>Модель_Пессимист!L109</f>
        <v>-354.716143120158</v>
      </c>
      <c r="K95" s="18">
        <f>Модель_Пессимист!M109</f>
        <v>-395.945693266366</v>
      </c>
      <c r="L95" s="18">
        <f>Модель_Пессимист!N109</f>
        <v>-437.07139929303</v>
      </c>
      <c r="M95" s="18">
        <f>Модель_Пессимист!O109</f>
        <v>-478.110049462181</v>
      </c>
    </row>
    <row r="96" spans="1:13">
      <c r="A96" s="6" t="s">
        <v>6</v>
      </c>
      <c r="B96" s="18">
        <f>Модель_База!D109</f>
        <v>-18.93375</v>
      </c>
      <c r="C96" s="18">
        <f>Модель_База!E109</f>
        <v>-40.6175</v>
      </c>
      <c r="D96" s="18">
        <f>Модель_База!F109</f>
        <v>-88.012176382575</v>
      </c>
      <c r="E96" s="18">
        <f>Модель_База!G109</f>
        <v>-132.723242339013</v>
      </c>
      <c r="F96" s="18">
        <f>Модель_База!H109</f>
        <v>-150.207645122937</v>
      </c>
      <c r="G96" s="18">
        <f>Модель_База!I109</f>
        <v>-162.024716235161</v>
      </c>
      <c r="H96" s="18">
        <f>Модель_База!J109</f>
        <v>-168.263191753612</v>
      </c>
      <c r="I96" s="18">
        <f>Модель_База!K109</f>
        <v>-170.256784346018</v>
      </c>
      <c r="J96" s="18">
        <f>Модель_База!L109</f>
        <v>-155.131326267921</v>
      </c>
      <c r="K96" s="18">
        <f>Модель_База!M109</f>
        <v>-139.721595233333</v>
      </c>
      <c r="L96" s="18">
        <f>Модель_База!N109</f>
        <v>-123.054827162878</v>
      </c>
      <c r="M96" s="18">
        <f>Модель_База!O109</f>
        <v>-106.388059092423</v>
      </c>
    </row>
    <row r="97" spans="1:13">
      <c r="A97" s="6" t="s">
        <v>7</v>
      </c>
      <c r="B97" s="18">
        <f>Модель_Оптимист!D109</f>
        <v>-22.275</v>
      </c>
      <c r="C97" s="18">
        <f>Модель_Оптимист!E109</f>
        <v>-47.85</v>
      </c>
      <c r="D97" s="18">
        <f>Модель_Оптимист!F109</f>
        <v>-105.404828512812</v>
      </c>
      <c r="E97" s="18">
        <f>Модель_Оптимист!G109</f>
        <v>-146.932761709375</v>
      </c>
      <c r="F97" s="18">
        <f>Модель_Оптимист!H109</f>
        <v>-103.157811494328</v>
      </c>
      <c r="G97" s="18">
        <f>Модель_Оптимист!I109</f>
        <v>-27.0965569287188</v>
      </c>
      <c r="H97" s="18">
        <f>Модель_Оптимист!J109</f>
        <v>76.4959432173875</v>
      </c>
      <c r="I97" s="18">
        <f>Модель_Оптимист!K109</f>
        <v>197.936730943825</v>
      </c>
      <c r="J97" s="18">
        <f>Модель_Оптимист!L109</f>
        <v>401.874416857751</v>
      </c>
      <c r="K97" s="18">
        <f>Модель_Оптимист!M109</f>
        <v>607.02084636612</v>
      </c>
      <c r="L97" s="18">
        <f>Модель_Оптимист!N109</f>
        <v>818.119248602345</v>
      </c>
      <c r="M97" s="18">
        <f>Модель_Оптимист!O109</f>
        <v>1029.21765083857</v>
      </c>
    </row>
    <row r="98" spans="1:13">
      <c r="A98" s="6" t="s">
        <v>56</v>
      </c>
      <c r="B98" s="14">
        <f>-Допущения!$C$6</f>
        <v>-10000</v>
      </c>
      <c r="C98" s="14">
        <f>-Допущения!$C$6</f>
        <v>-10000</v>
      </c>
      <c r="D98" s="14">
        <f>-Допущения!$C$6</f>
        <v>-10000</v>
      </c>
      <c r="E98" s="14">
        <f>-Допущения!$C$6</f>
        <v>-10000</v>
      </c>
      <c r="F98" s="14">
        <f>-Допущения!$C$6</f>
        <v>-10000</v>
      </c>
      <c r="G98" s="14">
        <f>-Допущения!$C$6</f>
        <v>-10000</v>
      </c>
      <c r="H98" s="14">
        <f>-Допущения!$C$6</f>
        <v>-10000</v>
      </c>
      <c r="I98" s="14">
        <f>-Допущения!$C$6</f>
        <v>-10000</v>
      </c>
      <c r="J98" s="14">
        <f>-Допущения!$C$6</f>
        <v>-10000</v>
      </c>
      <c r="K98" s="14">
        <f>-Допущения!$C$6</f>
        <v>-10000</v>
      </c>
      <c r="L98" s="14">
        <f>-Допущения!$C$6</f>
        <v>-10000</v>
      </c>
      <c r="M98" s="14">
        <f>-Допущения!$C$6</f>
        <v>-10000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1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A2" sqref="A2"/>
    </sheetView>
  </sheetViews>
  <sheetFormatPr defaultColWidth="8.67619047619048" defaultRowHeight="15"/>
  <cols>
    <col min="1" max="1" width="62" customWidth="1"/>
    <col min="2" max="2" width="14" customWidth="1"/>
    <col min="3" max="5" width="13" customWidth="1"/>
    <col min="6" max="6" width="24" customWidth="1"/>
    <col min="7" max="7" width="80" customWidth="1"/>
    <col min="8" max="15" width="8" customWidth="1"/>
  </cols>
  <sheetData>
    <row r="1" ht="18" spans="1:7">
      <c r="A1" s="1" t="s">
        <v>57</v>
      </c>
    </row>
    <row r="2" spans="1:7">
      <c r="A2" s="9" t="s">
        <v>58</v>
      </c>
    </row>
    <row r="4" spans="1:7">
      <c r="A4" s="2" t="s">
        <v>59</v>
      </c>
      <c r="B4" s="2" t="s">
        <v>60</v>
      </c>
      <c r="C4" s="2" t="s">
        <v>5</v>
      </c>
      <c r="D4" s="2" t="s">
        <v>6</v>
      </c>
      <c r="E4" s="2" t="s">
        <v>7</v>
      </c>
      <c r="F4" s="2" t="s">
        <v>61</v>
      </c>
      <c r="G4" s="2" t="s">
        <v>62</v>
      </c>
    </row>
    <row r="5" spans="1:7">
      <c r="A5" s="12" t="s">
        <v>63</v>
      </c>
      <c r="B5" s="13"/>
      <c r="C5" s="13"/>
      <c r="D5" s="13"/>
      <c r="E5" s="13"/>
      <c r="F5" s="13"/>
      <c r="G5" s="13"/>
    </row>
    <row r="6" spans="1:7">
      <c r="A6" s="6" t="s">
        <v>64</v>
      </c>
      <c r="B6" s="6" t="s">
        <v>65</v>
      </c>
      <c r="C6" s="7">
        <v>10000</v>
      </c>
      <c r="D6" s="7">
        <v>10000</v>
      </c>
      <c r="E6" s="7">
        <v>10000</v>
      </c>
      <c r="F6" s="6" t="s">
        <v>66</v>
      </c>
      <c r="G6" s="3" t="s">
        <v>67</v>
      </c>
    </row>
    <row r="7" spans="1:7">
      <c r="A7" s="6" t="s">
        <v>68</v>
      </c>
      <c r="B7" s="6" t="s">
        <v>69</v>
      </c>
      <c r="C7" s="7">
        <v>12</v>
      </c>
      <c r="D7" s="7">
        <v>12</v>
      </c>
      <c r="E7" s="7">
        <v>12</v>
      </c>
      <c r="F7" s="6" t="s">
        <v>66</v>
      </c>
      <c r="G7" s="3" t="s">
        <v>70</v>
      </c>
    </row>
    <row r="8" spans="1:7">
      <c r="A8" s="6" t="s">
        <v>71</v>
      </c>
      <c r="B8" s="6" t="s">
        <v>72</v>
      </c>
      <c r="C8" s="31">
        <v>0.15</v>
      </c>
      <c r="D8" s="31">
        <v>0.15</v>
      </c>
      <c r="E8" s="31">
        <v>0.15</v>
      </c>
      <c r="F8" s="6" t="s">
        <v>73</v>
      </c>
      <c r="G8" s="3" t="s">
        <v>74</v>
      </c>
    </row>
    <row r="9" spans="1:7">
      <c r="A9" s="6" t="s">
        <v>75</v>
      </c>
      <c r="B9" s="6" t="s">
        <v>76</v>
      </c>
      <c r="C9" s="31">
        <v>0.85</v>
      </c>
      <c r="D9" s="31">
        <v>0.85</v>
      </c>
      <c r="E9" s="31">
        <v>0.85</v>
      </c>
      <c r="F9" s="6" t="s">
        <v>73</v>
      </c>
      <c r="G9" s="3" t="s">
        <v>77</v>
      </c>
    </row>
    <row r="10" spans="1:7">
      <c r="A10" s="12" t="s">
        <v>78</v>
      </c>
      <c r="B10" s="13"/>
      <c r="C10" s="13"/>
      <c r="D10" s="13"/>
      <c r="E10" s="13"/>
      <c r="F10" s="13"/>
      <c r="G10" s="13"/>
    </row>
    <row r="11" spans="1:7">
      <c r="A11" s="6" t="s">
        <v>79</v>
      </c>
      <c r="B11" s="6" t="s">
        <v>80</v>
      </c>
      <c r="C11" s="7">
        <v>200</v>
      </c>
      <c r="D11" s="7">
        <v>200</v>
      </c>
      <c r="E11" s="7">
        <v>200</v>
      </c>
      <c r="F11" s="6" t="s">
        <v>81</v>
      </c>
      <c r="G11" s="3" t="s">
        <v>82</v>
      </c>
    </row>
    <row r="12" spans="1:7">
      <c r="A12" s="6" t="s">
        <v>83</v>
      </c>
      <c r="B12" s="6" t="s">
        <v>72</v>
      </c>
      <c r="C12" s="31">
        <v>0.03</v>
      </c>
      <c r="D12" s="31">
        <v>0.07</v>
      </c>
      <c r="E12" s="31">
        <v>0.1</v>
      </c>
      <c r="F12" s="6" t="s">
        <v>73</v>
      </c>
      <c r="G12" s="3" t="s">
        <v>84</v>
      </c>
    </row>
    <row r="13" spans="1:7">
      <c r="A13" s="6" t="s">
        <v>85</v>
      </c>
      <c r="B13" s="6" t="s">
        <v>76</v>
      </c>
      <c r="C13" s="31">
        <v>0.37</v>
      </c>
      <c r="D13" s="31">
        <v>0.4</v>
      </c>
      <c r="E13" s="31">
        <v>0.43</v>
      </c>
      <c r="F13" s="6" t="s">
        <v>81</v>
      </c>
      <c r="G13" s="3" t="s">
        <v>86</v>
      </c>
    </row>
    <row r="14" spans="1:7">
      <c r="A14" s="6" t="s">
        <v>87</v>
      </c>
      <c r="B14" s="6" t="s">
        <v>88</v>
      </c>
      <c r="C14" s="31">
        <v>0</v>
      </c>
      <c r="D14" s="31">
        <v>0.03</v>
      </c>
      <c r="E14" s="31">
        <v>0.04</v>
      </c>
      <c r="F14" s="6" t="s">
        <v>73</v>
      </c>
      <c r="G14" s="3" t="s">
        <v>89</v>
      </c>
    </row>
    <row r="15" spans="1:7">
      <c r="A15" s="6" t="s">
        <v>90</v>
      </c>
      <c r="B15" s="6" t="s">
        <v>91</v>
      </c>
      <c r="C15" s="7">
        <v>51</v>
      </c>
      <c r="D15" s="7">
        <v>51</v>
      </c>
      <c r="E15" s="7">
        <v>51</v>
      </c>
      <c r="F15" s="6" t="s">
        <v>66</v>
      </c>
      <c r="G15" s="3" t="s">
        <v>92</v>
      </c>
    </row>
    <row r="16" spans="1:7">
      <c r="A16" s="12" t="s">
        <v>93</v>
      </c>
      <c r="B16" s="13"/>
      <c r="C16" s="13"/>
      <c r="D16" s="13"/>
      <c r="E16" s="13"/>
      <c r="F16" s="13"/>
      <c r="G16" s="13"/>
    </row>
    <row r="17" ht="25.5" spans="1:7">
      <c r="A17" s="6" t="s">
        <v>94</v>
      </c>
      <c r="B17" s="6" t="s">
        <v>76</v>
      </c>
      <c r="C17" s="32">
        <v>0.21</v>
      </c>
      <c r="D17" s="32">
        <v>0.31</v>
      </c>
      <c r="E17" s="32">
        <v>0.39</v>
      </c>
      <c r="F17" s="6" t="s">
        <v>81</v>
      </c>
      <c r="G17" s="3" t="s">
        <v>95</v>
      </c>
    </row>
    <row r="18" spans="1:7">
      <c r="A18" s="6" t="s">
        <v>96</v>
      </c>
      <c r="B18" s="6" t="s">
        <v>76</v>
      </c>
      <c r="C18" s="32">
        <v>0.28</v>
      </c>
      <c r="D18" s="32">
        <v>0.55</v>
      </c>
      <c r="E18" s="32">
        <v>0.62</v>
      </c>
      <c r="F18" s="6" t="s">
        <v>73</v>
      </c>
      <c r="G18" s="3" t="s">
        <v>97</v>
      </c>
    </row>
    <row r="19" spans="1:7">
      <c r="A19" s="6" t="s">
        <v>98</v>
      </c>
      <c r="B19" s="6" t="s">
        <v>76</v>
      </c>
      <c r="C19" s="31">
        <v>0.35</v>
      </c>
      <c r="D19" s="31">
        <v>0.7</v>
      </c>
      <c r="E19" s="31">
        <v>0.78</v>
      </c>
      <c r="F19" s="6" t="s">
        <v>73</v>
      </c>
      <c r="G19" s="3" t="s">
        <v>99</v>
      </c>
    </row>
    <row r="20" spans="1:7">
      <c r="A20" s="6" t="s">
        <v>100</v>
      </c>
      <c r="B20" s="6" t="s">
        <v>76</v>
      </c>
      <c r="C20" s="32">
        <v>0.35</v>
      </c>
      <c r="D20" s="32">
        <v>0.45</v>
      </c>
      <c r="E20" s="32">
        <v>0.55</v>
      </c>
      <c r="F20" s="6" t="s">
        <v>73</v>
      </c>
      <c r="G20" s="3" t="s">
        <v>101</v>
      </c>
    </row>
    <row r="21" spans="1:7">
      <c r="A21" s="12" t="s">
        <v>102</v>
      </c>
      <c r="B21" s="13"/>
      <c r="C21" s="13"/>
      <c r="D21" s="13"/>
      <c r="E21" s="13"/>
      <c r="F21" s="13"/>
      <c r="G21" s="13"/>
    </row>
    <row r="22" ht="25.5" spans="1:7">
      <c r="A22" s="6" t="s">
        <v>103</v>
      </c>
      <c r="B22" s="6" t="s">
        <v>76</v>
      </c>
      <c r="C22" s="32">
        <v>0.05</v>
      </c>
      <c r="D22" s="32">
        <v>0.08</v>
      </c>
      <c r="E22" s="32">
        <v>0.1</v>
      </c>
      <c r="F22" s="6" t="s">
        <v>73</v>
      </c>
      <c r="G22" s="3" t="s">
        <v>104</v>
      </c>
    </row>
    <row r="23" spans="1:7">
      <c r="A23" s="6" t="s">
        <v>105</v>
      </c>
      <c r="B23" s="6" t="s">
        <v>76</v>
      </c>
      <c r="C23" s="31">
        <v>0.15</v>
      </c>
      <c r="D23" s="31">
        <v>0.25</v>
      </c>
      <c r="E23" s="31">
        <v>0.35</v>
      </c>
      <c r="F23" s="6" t="s">
        <v>73</v>
      </c>
      <c r="G23" s="3" t="s">
        <v>106</v>
      </c>
    </row>
    <row r="24" spans="1:7">
      <c r="A24" s="6" t="s">
        <v>107</v>
      </c>
      <c r="B24" s="6" t="s">
        <v>69</v>
      </c>
      <c r="C24" s="7">
        <v>2</v>
      </c>
      <c r="D24" s="7">
        <v>2</v>
      </c>
      <c r="E24" s="7">
        <v>2</v>
      </c>
      <c r="F24" s="6" t="s">
        <v>73</v>
      </c>
      <c r="G24" s="3" t="s">
        <v>108</v>
      </c>
    </row>
    <row r="25" spans="1:7">
      <c r="A25" s="6" t="s">
        <v>109</v>
      </c>
      <c r="B25" s="6" t="s">
        <v>76</v>
      </c>
      <c r="C25" s="32">
        <v>0.05</v>
      </c>
      <c r="D25" s="32">
        <v>0.08</v>
      </c>
      <c r="E25" s="32">
        <v>0.12</v>
      </c>
      <c r="F25" s="6" t="s">
        <v>73</v>
      </c>
      <c r="G25" s="3" t="s">
        <v>110</v>
      </c>
    </row>
    <row r="26" spans="1:7">
      <c r="A26" s="6" t="s">
        <v>111</v>
      </c>
      <c r="B26" s="6" t="s">
        <v>76</v>
      </c>
      <c r="C26" s="31">
        <v>0.12</v>
      </c>
      <c r="D26" s="31">
        <v>0.18</v>
      </c>
      <c r="E26" s="31">
        <v>0.25</v>
      </c>
      <c r="F26" s="6" t="s">
        <v>73</v>
      </c>
      <c r="G26" s="3"/>
    </row>
    <row r="27" spans="1:7">
      <c r="A27" s="6" t="s">
        <v>112</v>
      </c>
      <c r="B27" s="6" t="s">
        <v>113</v>
      </c>
      <c r="C27" s="7">
        <v>150</v>
      </c>
      <c r="D27" s="7">
        <v>200</v>
      </c>
      <c r="E27" s="7">
        <v>250</v>
      </c>
      <c r="F27" s="6" t="s">
        <v>73</v>
      </c>
      <c r="G27" s="3"/>
    </row>
    <row r="28" spans="1:7">
      <c r="A28" s="6" t="s">
        <v>114</v>
      </c>
      <c r="B28" s="6" t="s">
        <v>76</v>
      </c>
      <c r="C28" s="31">
        <v>0.2</v>
      </c>
      <c r="D28" s="31">
        <v>0.3</v>
      </c>
      <c r="E28" s="31">
        <v>0.4</v>
      </c>
      <c r="F28" s="6" t="s">
        <v>73</v>
      </c>
      <c r="G28" s="3" t="s">
        <v>115</v>
      </c>
    </row>
    <row r="29" spans="1:7">
      <c r="A29" s="12" t="s">
        <v>116</v>
      </c>
      <c r="B29" s="13"/>
      <c r="C29" s="13"/>
      <c r="D29" s="13"/>
      <c r="E29" s="13"/>
      <c r="F29" s="13"/>
      <c r="G29" s="13"/>
    </row>
    <row r="30" ht="25.5" spans="1:7">
      <c r="A30" s="6" t="s">
        <v>117</v>
      </c>
      <c r="B30" s="6" t="s">
        <v>76</v>
      </c>
      <c r="C30" s="32">
        <v>0.04</v>
      </c>
      <c r="D30" s="32">
        <v>0.05</v>
      </c>
      <c r="E30" s="32">
        <v>0.08</v>
      </c>
      <c r="F30" s="6" t="s">
        <v>118</v>
      </c>
      <c r="G30" s="3" t="s">
        <v>119</v>
      </c>
    </row>
    <row r="31" spans="1:7">
      <c r="A31" s="6" t="s">
        <v>120</v>
      </c>
      <c r="B31" s="6" t="s">
        <v>76</v>
      </c>
      <c r="C31" s="31">
        <v>0.65</v>
      </c>
      <c r="D31" s="31">
        <v>0.75</v>
      </c>
      <c r="E31" s="31">
        <v>0.85</v>
      </c>
      <c r="F31" s="6" t="s">
        <v>73</v>
      </c>
      <c r="G31" s="3" t="s">
        <v>121</v>
      </c>
    </row>
    <row r="32" ht="25.5" spans="1:7">
      <c r="A32" s="6" t="s">
        <v>122</v>
      </c>
      <c r="B32" s="6" t="s">
        <v>76</v>
      </c>
      <c r="C32" s="31">
        <v>0.005</v>
      </c>
      <c r="D32" s="31">
        <v>0.003</v>
      </c>
      <c r="E32" s="31">
        <v>0.0015</v>
      </c>
      <c r="F32" s="6" t="s">
        <v>73</v>
      </c>
      <c r="G32" s="3" t="s">
        <v>123</v>
      </c>
    </row>
    <row r="33" spans="1:7">
      <c r="A33" s="6" t="s">
        <v>124</v>
      </c>
      <c r="B33" s="6" t="s">
        <v>113</v>
      </c>
      <c r="C33" s="34">
        <v>2000</v>
      </c>
      <c r="D33" s="34">
        <v>2000</v>
      </c>
      <c r="E33" s="34">
        <v>2000</v>
      </c>
      <c r="F33" s="6" t="s">
        <v>125</v>
      </c>
      <c r="G33" s="3" t="s">
        <v>126</v>
      </c>
    </row>
    <row r="34" spans="1:7">
      <c r="A34" s="6" t="s">
        <v>127</v>
      </c>
      <c r="B34" s="6" t="s">
        <v>76</v>
      </c>
      <c r="C34" s="32">
        <v>0.1125</v>
      </c>
      <c r="D34" s="32">
        <v>0.125</v>
      </c>
      <c r="E34" s="32">
        <v>0.125</v>
      </c>
      <c r="F34" s="6" t="s">
        <v>125</v>
      </c>
      <c r="G34" s="3" t="s">
        <v>128</v>
      </c>
    </row>
    <row r="35" spans="1:7">
      <c r="A35" s="6" t="s">
        <v>129</v>
      </c>
      <c r="B35" s="6" t="s">
        <v>72</v>
      </c>
      <c r="C35" s="32">
        <v>0.04</v>
      </c>
      <c r="D35" s="32">
        <v>0.06</v>
      </c>
      <c r="E35" s="32">
        <v>0.07</v>
      </c>
      <c r="F35" s="6" t="s">
        <v>73</v>
      </c>
      <c r="G35" s="3" t="s">
        <v>130</v>
      </c>
    </row>
    <row r="36" spans="1:7">
      <c r="A36" s="12" t="s">
        <v>131</v>
      </c>
      <c r="B36" s="13"/>
      <c r="C36" s="13"/>
      <c r="D36" s="13"/>
      <c r="E36" s="13"/>
      <c r="F36" s="13"/>
      <c r="G36" s="13"/>
    </row>
    <row r="37" spans="1:7">
      <c r="A37" s="6" t="s">
        <v>132</v>
      </c>
      <c r="B37" s="6" t="s">
        <v>76</v>
      </c>
      <c r="C37" s="31">
        <v>0.12</v>
      </c>
      <c r="D37" s="31">
        <v>0.15</v>
      </c>
      <c r="E37" s="31">
        <v>0.2</v>
      </c>
      <c r="F37" s="6" t="s">
        <v>73</v>
      </c>
      <c r="G37" s="3" t="s">
        <v>133</v>
      </c>
    </row>
    <row r="38" spans="1:7">
      <c r="A38" s="6" t="s">
        <v>134</v>
      </c>
      <c r="B38" s="6" t="s">
        <v>135</v>
      </c>
      <c r="C38" s="35">
        <v>0.5</v>
      </c>
      <c r="D38" s="35">
        <v>0.8</v>
      </c>
      <c r="E38" s="35">
        <v>1.1</v>
      </c>
      <c r="F38" s="6" t="s">
        <v>73</v>
      </c>
      <c r="G38" s="3" t="s">
        <v>136</v>
      </c>
    </row>
    <row r="39" spans="1:7">
      <c r="A39" s="6" t="s">
        <v>137</v>
      </c>
      <c r="B39" s="6" t="s">
        <v>138</v>
      </c>
      <c r="C39" s="7">
        <v>8</v>
      </c>
      <c r="D39" s="7">
        <v>10</v>
      </c>
      <c r="E39" s="7">
        <v>12</v>
      </c>
      <c r="F39" s="6" t="s">
        <v>73</v>
      </c>
      <c r="G39" s="3"/>
    </row>
    <row r="40" spans="1:7">
      <c r="A40" s="6" t="s">
        <v>139</v>
      </c>
      <c r="B40" s="6" t="s">
        <v>113</v>
      </c>
      <c r="C40" s="35">
        <v>0.05</v>
      </c>
      <c r="D40" s="35">
        <v>0.08</v>
      </c>
      <c r="E40" s="35">
        <v>0.11</v>
      </c>
      <c r="F40" s="6" t="s">
        <v>73</v>
      </c>
      <c r="G40" s="3" t="s">
        <v>140</v>
      </c>
    </row>
    <row r="41" spans="1:7">
      <c r="A41" s="12" t="s">
        <v>141</v>
      </c>
      <c r="B41" s="13"/>
      <c r="C41" s="13"/>
      <c r="D41" s="13"/>
      <c r="E41" s="13"/>
      <c r="F41" s="13"/>
      <c r="G41" s="13"/>
    </row>
    <row r="42" spans="1:7">
      <c r="A42" s="6" t="s">
        <v>142</v>
      </c>
      <c r="B42" s="6" t="s">
        <v>143</v>
      </c>
      <c r="C42" s="35">
        <v>0</v>
      </c>
      <c r="D42" s="35">
        <v>0</v>
      </c>
      <c r="E42" s="35">
        <v>0.04</v>
      </c>
      <c r="F42" s="6" t="s">
        <v>73</v>
      </c>
      <c r="G42" s="3" t="s">
        <v>144</v>
      </c>
    </row>
    <row r="43" spans="1:7">
      <c r="A43" s="6" t="s">
        <v>145</v>
      </c>
      <c r="B43" s="6" t="s">
        <v>113</v>
      </c>
      <c r="C43" s="7">
        <v>150</v>
      </c>
      <c r="D43" s="7">
        <v>200</v>
      </c>
      <c r="E43" s="7">
        <v>250</v>
      </c>
      <c r="F43" s="6" t="s">
        <v>73</v>
      </c>
      <c r="G43" s="3" t="s">
        <v>146</v>
      </c>
    </row>
    <row r="44" spans="1:7">
      <c r="A44" s="12" t="s">
        <v>147</v>
      </c>
      <c r="B44" s="13"/>
      <c r="C44" s="13"/>
      <c r="D44" s="13"/>
      <c r="E44" s="13"/>
      <c r="F44" s="13"/>
      <c r="G44" s="13"/>
    </row>
    <row r="45" spans="1:7">
      <c r="A45" s="4" t="s">
        <v>148</v>
      </c>
      <c r="B45" s="4" t="s">
        <v>60</v>
      </c>
      <c r="C45" s="4" t="s">
        <v>149</v>
      </c>
      <c r="D45" s="4" t="s">
        <v>150</v>
      </c>
      <c r="E45" s="4" t="s">
        <v>151</v>
      </c>
    </row>
    <row r="46" spans="1:7">
      <c r="A46" s="6" t="s">
        <v>152</v>
      </c>
      <c r="B46" s="6" t="s">
        <v>153</v>
      </c>
      <c r="C46" s="7">
        <v>1</v>
      </c>
      <c r="D46" s="7">
        <v>1</v>
      </c>
      <c r="E46" s="7">
        <v>1</v>
      </c>
      <c r="G46" s="6" t="s">
        <v>154</v>
      </c>
    </row>
    <row r="47" spans="1:7">
      <c r="A47" s="6" t="s">
        <v>155</v>
      </c>
      <c r="B47" s="6" t="s">
        <v>153</v>
      </c>
      <c r="C47" s="7">
        <v>1</v>
      </c>
      <c r="D47" s="7">
        <v>1</v>
      </c>
      <c r="E47" s="7">
        <v>2</v>
      </c>
      <c r="G47" s="6"/>
    </row>
    <row r="48" spans="1:7">
      <c r="A48" s="6" t="s">
        <v>156</v>
      </c>
      <c r="B48" s="6" t="s">
        <v>153</v>
      </c>
      <c r="C48" s="7">
        <v>3</v>
      </c>
      <c r="D48" s="7">
        <v>4</v>
      </c>
      <c r="E48" s="7">
        <v>4</v>
      </c>
      <c r="G48" s="6"/>
    </row>
    <row r="49" spans="1:7">
      <c r="A49" s="6" t="s">
        <v>157</v>
      </c>
      <c r="B49" s="6" t="s">
        <v>153</v>
      </c>
      <c r="C49" s="7">
        <v>1</v>
      </c>
      <c r="D49" s="7">
        <v>2</v>
      </c>
      <c r="E49" s="7">
        <v>2</v>
      </c>
      <c r="G49" s="6"/>
    </row>
    <row r="50" spans="1:7">
      <c r="A50" s="6" t="s">
        <v>158</v>
      </c>
      <c r="B50" s="6" t="s">
        <v>153</v>
      </c>
      <c r="C50" s="7">
        <v>3</v>
      </c>
      <c r="D50" s="7">
        <v>4</v>
      </c>
      <c r="E50" s="7">
        <v>4</v>
      </c>
      <c r="G50" s="6"/>
    </row>
    <row r="51" spans="1:7">
      <c r="A51" s="6" t="s">
        <v>159</v>
      </c>
      <c r="B51" s="6" t="s">
        <v>153</v>
      </c>
      <c r="C51" s="7">
        <v>2</v>
      </c>
      <c r="D51" s="7">
        <v>3</v>
      </c>
      <c r="E51" s="7">
        <v>3</v>
      </c>
      <c r="G51" s="6"/>
    </row>
    <row r="52" spans="1:7">
      <c r="A52" s="6" t="s">
        <v>160</v>
      </c>
      <c r="B52" s="6" t="s">
        <v>153</v>
      </c>
      <c r="C52" s="7">
        <v>2</v>
      </c>
      <c r="D52" s="7">
        <v>2</v>
      </c>
      <c r="E52" s="7">
        <v>2</v>
      </c>
      <c r="G52" s="6"/>
    </row>
    <row r="53" spans="1:7">
      <c r="A53" s="6" t="s">
        <v>161</v>
      </c>
      <c r="B53" s="6" t="s">
        <v>153</v>
      </c>
      <c r="C53" s="7">
        <v>2</v>
      </c>
      <c r="D53" s="7">
        <v>2</v>
      </c>
      <c r="E53" s="7">
        <v>2</v>
      </c>
      <c r="G53" s="6"/>
    </row>
    <row r="54" spans="1:7">
      <c r="A54" s="24" t="s">
        <v>162</v>
      </c>
      <c r="B54" s="24" t="s">
        <v>153</v>
      </c>
      <c r="C54" s="36">
        <f>SUM(C46:C53)</f>
        <v>15</v>
      </c>
      <c r="D54" s="36">
        <f>SUM(D46:D53)</f>
        <v>19</v>
      </c>
      <c r="E54" s="36">
        <f>SUM(E46:E53)</f>
        <v>20</v>
      </c>
    </row>
    <row r="56" spans="1:7">
      <c r="A56" s="12" t="s">
        <v>163</v>
      </c>
      <c r="B56" s="13"/>
      <c r="C56" s="13"/>
      <c r="D56" s="13"/>
      <c r="E56" s="13"/>
      <c r="F56" s="13"/>
      <c r="G56" s="13"/>
    </row>
    <row r="57" spans="1:7">
      <c r="A57" s="6" t="s">
        <v>164</v>
      </c>
      <c r="B57" s="6" t="s">
        <v>165</v>
      </c>
      <c r="C57" s="37">
        <v>1</v>
      </c>
      <c r="D57" s="37">
        <v>0.85</v>
      </c>
      <c r="E57" s="37">
        <v>1</v>
      </c>
      <c r="F57" s="6" t="s">
        <v>73</v>
      </c>
      <c r="G57" s="3" t="s">
        <v>166</v>
      </c>
    </row>
    <row r="58" spans="1:7">
      <c r="A58" s="6" t="s">
        <v>167</v>
      </c>
      <c r="B58" s="6" t="s">
        <v>168</v>
      </c>
      <c r="C58" s="7">
        <v>450</v>
      </c>
      <c r="D58" s="7">
        <v>450</v>
      </c>
      <c r="E58" s="7">
        <v>450</v>
      </c>
      <c r="F58" s="6" t="s">
        <v>73</v>
      </c>
      <c r="G58" s="3" t="s">
        <v>169</v>
      </c>
    </row>
    <row r="59" spans="1:7">
      <c r="A59" s="6" t="s">
        <v>170</v>
      </c>
      <c r="B59" s="6" t="s">
        <v>72</v>
      </c>
      <c r="C59" s="31">
        <v>0.08</v>
      </c>
      <c r="D59" s="31">
        <v>0.08</v>
      </c>
      <c r="E59" s="31">
        <v>0.08</v>
      </c>
      <c r="F59" s="6" t="s">
        <v>73</v>
      </c>
      <c r="G59" s="3"/>
    </row>
    <row r="60" spans="1:7">
      <c r="A60" s="12" t="s">
        <v>171</v>
      </c>
      <c r="B60" s="13"/>
      <c r="C60" s="13"/>
      <c r="D60" s="13"/>
      <c r="E60" s="13"/>
      <c r="F60" s="13"/>
      <c r="G60" s="13"/>
    </row>
    <row r="61" spans="1:7">
      <c r="A61" s="6" t="s">
        <v>172</v>
      </c>
      <c r="B61" s="6" t="s">
        <v>138</v>
      </c>
      <c r="C61" s="35">
        <v>2</v>
      </c>
      <c r="D61" s="35">
        <v>2</v>
      </c>
      <c r="E61" s="35">
        <v>2</v>
      </c>
      <c r="F61" s="6" t="s">
        <v>73</v>
      </c>
      <c r="G61" s="3" t="s">
        <v>173</v>
      </c>
    </row>
    <row r="62" spans="1:7">
      <c r="A62" s="6" t="s">
        <v>174</v>
      </c>
      <c r="B62" s="6" t="s">
        <v>113</v>
      </c>
      <c r="C62" s="35">
        <v>1</v>
      </c>
      <c r="D62" s="35">
        <v>1</v>
      </c>
      <c r="E62" s="35">
        <v>1</v>
      </c>
      <c r="F62" s="6" t="s">
        <v>73</v>
      </c>
      <c r="G62" s="3" t="s">
        <v>175</v>
      </c>
    </row>
    <row r="63" spans="1:7">
      <c r="A63" s="6" t="s">
        <v>176</v>
      </c>
      <c r="B63" s="6" t="s">
        <v>76</v>
      </c>
      <c r="C63" s="31">
        <v>0.06</v>
      </c>
      <c r="D63" s="31">
        <v>0.04</v>
      </c>
      <c r="E63" s="31">
        <v>0.03</v>
      </c>
      <c r="F63" s="6" t="s">
        <v>73</v>
      </c>
      <c r="G63" s="3"/>
    </row>
    <row r="64" spans="1:7">
      <c r="A64" s="6" t="s">
        <v>177</v>
      </c>
      <c r="B64" s="6" t="s">
        <v>113</v>
      </c>
      <c r="C64" s="7">
        <v>20</v>
      </c>
      <c r="D64" s="7">
        <v>20</v>
      </c>
      <c r="E64" s="7">
        <v>20</v>
      </c>
      <c r="F64" s="6" t="s">
        <v>73</v>
      </c>
      <c r="G64" s="3"/>
    </row>
    <row r="65" spans="1:15">
      <c r="A65" s="6" t="s">
        <v>178</v>
      </c>
      <c r="B65" s="6" t="s">
        <v>113</v>
      </c>
      <c r="C65" s="35">
        <v>2</v>
      </c>
      <c r="D65" s="35">
        <v>2</v>
      </c>
      <c r="E65" s="35">
        <v>2</v>
      </c>
      <c r="F65" s="6" t="s">
        <v>73</v>
      </c>
      <c r="G65" s="3"/>
    </row>
    <row r="66" spans="1:15">
      <c r="A66" s="6" t="s">
        <v>179</v>
      </c>
      <c r="B66" s="6" t="s">
        <v>65</v>
      </c>
      <c r="C66" s="38">
        <v>2.5</v>
      </c>
      <c r="D66" s="38">
        <v>2.5</v>
      </c>
      <c r="E66" s="38">
        <v>3</v>
      </c>
      <c r="F66" s="6" t="s">
        <v>73</v>
      </c>
      <c r="G66" s="3"/>
    </row>
    <row r="67" spans="1:15">
      <c r="A67" s="6" t="s">
        <v>180</v>
      </c>
      <c r="B67" s="6" t="s">
        <v>181</v>
      </c>
      <c r="C67" s="7">
        <v>2</v>
      </c>
      <c r="D67" s="7">
        <v>2</v>
      </c>
      <c r="E67" s="7">
        <v>2</v>
      </c>
      <c r="F67" s="6" t="s">
        <v>73</v>
      </c>
      <c r="G67" s="3" t="s">
        <v>182</v>
      </c>
    </row>
    <row r="68" spans="1:15">
      <c r="A68" s="6" t="s">
        <v>183</v>
      </c>
      <c r="B68" s="6" t="s">
        <v>76</v>
      </c>
      <c r="C68" s="31">
        <v>0.5</v>
      </c>
      <c r="D68" s="31">
        <v>0.5</v>
      </c>
      <c r="E68" s="31">
        <v>0.5</v>
      </c>
      <c r="F68" s="6" t="s">
        <v>73</v>
      </c>
      <c r="G68" s="3" t="s">
        <v>184</v>
      </c>
    </row>
    <row r="69" spans="1:15">
      <c r="A69" s="6" t="s">
        <v>185</v>
      </c>
      <c r="B69" s="6" t="s">
        <v>113</v>
      </c>
      <c r="C69" s="34">
        <v>40</v>
      </c>
      <c r="D69" s="34">
        <v>25</v>
      </c>
      <c r="E69" s="34">
        <v>25</v>
      </c>
      <c r="F69" s="6" t="s">
        <v>73</v>
      </c>
      <c r="G69" s="3" t="s">
        <v>186</v>
      </c>
    </row>
    <row r="70" spans="1:15">
      <c r="A70" s="6" t="s">
        <v>187</v>
      </c>
      <c r="B70" s="6" t="s">
        <v>188</v>
      </c>
      <c r="C70" s="7">
        <v>150</v>
      </c>
      <c r="D70" s="7">
        <v>150</v>
      </c>
      <c r="E70" s="7">
        <v>200</v>
      </c>
      <c r="F70" s="6" t="s">
        <v>73</v>
      </c>
      <c r="G70" s="3" t="s">
        <v>189</v>
      </c>
    </row>
    <row r="71" spans="1:15">
      <c r="A71" s="6" t="s">
        <v>190</v>
      </c>
      <c r="B71" s="6" t="s">
        <v>76</v>
      </c>
      <c r="C71" s="31">
        <v>0.1</v>
      </c>
      <c r="D71" s="31">
        <v>0.1</v>
      </c>
      <c r="E71" s="31">
        <v>0.1</v>
      </c>
      <c r="F71" s="6" t="s">
        <v>73</v>
      </c>
      <c r="G71" s="3"/>
    </row>
    <row r="72" spans="1:15">
      <c r="A72" s="12" t="s">
        <v>191</v>
      </c>
      <c r="B72" s="13"/>
      <c r="C72" s="13"/>
      <c r="D72" s="13"/>
      <c r="E72" s="13"/>
      <c r="F72" s="13"/>
      <c r="G72" s="13"/>
    </row>
    <row r="73" spans="1:15">
      <c r="A73" s="6" t="s">
        <v>192</v>
      </c>
      <c r="B73" s="6" t="s">
        <v>65</v>
      </c>
      <c r="C73" s="7">
        <v>60</v>
      </c>
      <c r="D73" s="7">
        <v>50</v>
      </c>
      <c r="E73" s="7">
        <v>80</v>
      </c>
      <c r="F73" s="6" t="s">
        <v>73</v>
      </c>
      <c r="G73" s="3" t="s">
        <v>193</v>
      </c>
    </row>
    <row r="74" spans="1:15">
      <c r="A74" s="6" t="s">
        <v>194</v>
      </c>
      <c r="B74" s="6" t="s">
        <v>181</v>
      </c>
      <c r="C74" s="7">
        <v>3</v>
      </c>
      <c r="D74" s="7">
        <v>3</v>
      </c>
      <c r="E74" s="7">
        <v>3</v>
      </c>
      <c r="F74" s="6" t="s">
        <v>73</v>
      </c>
      <c r="G74" s="3"/>
    </row>
    <row r="75" spans="1:15">
      <c r="A75" s="6" t="s">
        <v>195</v>
      </c>
      <c r="B75" s="6" t="s">
        <v>181</v>
      </c>
      <c r="C75" s="7">
        <v>4</v>
      </c>
      <c r="D75" s="7">
        <v>4</v>
      </c>
      <c r="E75" s="7">
        <v>4</v>
      </c>
      <c r="F75" s="6" t="s">
        <v>73</v>
      </c>
      <c r="G75" s="3"/>
    </row>
    <row r="76" spans="1:15">
      <c r="A76" s="6" t="s">
        <v>196</v>
      </c>
      <c r="B76" s="6" t="s">
        <v>65</v>
      </c>
      <c r="C76" s="38">
        <v>4</v>
      </c>
      <c r="D76" s="38">
        <v>4</v>
      </c>
      <c r="E76" s="38">
        <v>8</v>
      </c>
      <c r="F76" s="6" t="s">
        <v>73</v>
      </c>
      <c r="G76" s="3"/>
    </row>
    <row r="77" spans="1:15">
      <c r="A77" s="12" t="s">
        <v>197</v>
      </c>
      <c r="B77" s="13"/>
      <c r="C77" s="13"/>
      <c r="D77" s="13"/>
      <c r="E77" s="13"/>
      <c r="F77" s="13"/>
      <c r="G77" s="13"/>
    </row>
    <row r="78" spans="1:15">
      <c r="A78" s="4" t="s">
        <v>55</v>
      </c>
      <c r="D78" s="39" t="s">
        <v>198</v>
      </c>
      <c r="E78" s="39" t="s">
        <v>199</v>
      </c>
      <c r="F78" s="39" t="s">
        <v>200</v>
      </c>
      <c r="G78" s="40" t="s">
        <v>201</v>
      </c>
      <c r="H78" s="39" t="s">
        <v>202</v>
      </c>
      <c r="I78" s="39" t="s">
        <v>203</v>
      </c>
      <c r="J78" s="39" t="s">
        <v>204</v>
      </c>
      <c r="K78" s="39" t="s">
        <v>205</v>
      </c>
      <c r="L78" s="39" t="s">
        <v>206</v>
      </c>
      <c r="M78" s="39" t="s">
        <v>207</v>
      </c>
      <c r="N78" s="39" t="s">
        <v>208</v>
      </c>
      <c r="O78" s="39" t="s">
        <v>209</v>
      </c>
    </row>
    <row r="79" spans="1:15">
      <c r="A79" s="6" t="s">
        <v>210</v>
      </c>
      <c r="B79" s="6" t="s">
        <v>211</v>
      </c>
      <c r="D79" s="41">
        <v>0</v>
      </c>
      <c r="E79" s="41">
        <v>0</v>
      </c>
      <c r="F79" s="41">
        <v>0.05</v>
      </c>
      <c r="G79" s="41">
        <v>0.1</v>
      </c>
      <c r="H79" s="41">
        <v>0.2</v>
      </c>
      <c r="I79" s="41">
        <v>0.3</v>
      </c>
      <c r="J79" s="41">
        <v>0.4</v>
      </c>
      <c r="K79" s="41">
        <v>0.5</v>
      </c>
      <c r="L79" s="41">
        <v>0.6</v>
      </c>
      <c r="M79" s="41">
        <v>0.7</v>
      </c>
      <c r="N79" s="41">
        <v>0.8</v>
      </c>
      <c r="O79" s="41">
        <v>0.9</v>
      </c>
    </row>
    <row r="80" spans="1:15">
      <c r="A80" s="6" t="s">
        <v>212</v>
      </c>
      <c r="B80" s="6" t="s">
        <v>211</v>
      </c>
      <c r="D80" s="42">
        <v>0</v>
      </c>
      <c r="E80" s="42">
        <v>0</v>
      </c>
      <c r="F80" s="42">
        <v>0.12</v>
      </c>
      <c r="G80" s="42">
        <v>0.3</v>
      </c>
      <c r="H80" s="42">
        <v>0.48</v>
      </c>
      <c r="I80" s="42">
        <v>0.65</v>
      </c>
      <c r="J80" s="42">
        <v>0.8</v>
      </c>
      <c r="K80" s="42">
        <v>0.92</v>
      </c>
      <c r="L80" s="42">
        <v>1</v>
      </c>
      <c r="M80" s="42">
        <v>1</v>
      </c>
      <c r="N80" s="42">
        <v>1</v>
      </c>
      <c r="O80" s="42">
        <v>1</v>
      </c>
    </row>
    <row r="81" spans="1:15">
      <c r="A81" s="6" t="s">
        <v>213</v>
      </c>
      <c r="B81" s="6" t="s">
        <v>211</v>
      </c>
      <c r="D81" s="41">
        <v>0</v>
      </c>
      <c r="E81" s="41">
        <v>0</v>
      </c>
      <c r="F81" s="41">
        <v>0.15</v>
      </c>
      <c r="G81" s="41">
        <v>0.35</v>
      </c>
      <c r="H81" s="41">
        <v>0.55</v>
      </c>
      <c r="I81" s="41">
        <v>0.75</v>
      </c>
      <c r="J81" s="41">
        <v>0.9</v>
      </c>
      <c r="K81" s="41">
        <v>1</v>
      </c>
      <c r="L81" s="41">
        <v>1</v>
      </c>
      <c r="M81" s="41">
        <v>1</v>
      </c>
      <c r="N81" s="41">
        <v>1</v>
      </c>
      <c r="O81" s="41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8.67619047619048" defaultRowHeight="15" outlineLevelCol="4"/>
  <cols>
    <col min="1" max="1" width="62" customWidth="1"/>
    <col min="2" max="4" width="13" customWidth="1"/>
    <col min="5" max="5" width="60" customWidth="1"/>
  </cols>
  <sheetData>
    <row r="1" ht="18" spans="1:5">
      <c r="A1" s="1" t="s">
        <v>214</v>
      </c>
    </row>
    <row r="2" spans="1:5">
      <c r="A2" s="9" t="s">
        <v>215</v>
      </c>
    </row>
    <row r="4" spans="1:5">
      <c r="A4" s="2" t="s">
        <v>216</v>
      </c>
      <c r="B4" s="2" t="s">
        <v>217</v>
      </c>
      <c r="C4" s="2" t="s">
        <v>218</v>
      </c>
      <c r="D4" s="2" t="s">
        <v>219</v>
      </c>
      <c r="E4" s="2" t="s">
        <v>220</v>
      </c>
    </row>
    <row r="5" spans="1:5">
      <c r="A5" s="6" t="s">
        <v>221</v>
      </c>
      <c r="B5" s="31">
        <v>0.06</v>
      </c>
      <c r="C5" s="31">
        <v>0.08</v>
      </c>
      <c r="D5" s="31">
        <v>0.1</v>
      </c>
      <c r="E5" s="6" t="s">
        <v>222</v>
      </c>
    </row>
    <row r="6" spans="1:5">
      <c r="A6" s="6" t="s">
        <v>223</v>
      </c>
      <c r="B6" s="32">
        <v>0.5</v>
      </c>
      <c r="C6" s="32">
        <v>0.6</v>
      </c>
      <c r="D6" s="32">
        <v>0.7</v>
      </c>
      <c r="E6" s="6" t="s">
        <v>224</v>
      </c>
    </row>
    <row r="7" spans="1:5">
      <c r="A7" s="4" t="s">
        <v>225</v>
      </c>
      <c r="B7" s="33">
        <f>B5*B6</f>
        <v>0.03</v>
      </c>
      <c r="C7" s="33">
        <f>C5*C6</f>
        <v>0.048</v>
      </c>
      <c r="D7" s="33">
        <f>D5*D6</f>
        <v>0.07</v>
      </c>
    </row>
    <row r="8" spans="1:5">
      <c r="A8" s="6" t="s">
        <v>226</v>
      </c>
      <c r="B8" s="31">
        <v>0</v>
      </c>
      <c r="C8" s="31">
        <v>0</v>
      </c>
      <c r="D8" s="31">
        <v>0.01</v>
      </c>
      <c r="E8" s="6" t="s">
        <v>227</v>
      </c>
    </row>
    <row r="9" spans="1:5">
      <c r="A9" s="4" t="s">
        <v>228</v>
      </c>
      <c r="B9" s="33">
        <f>B7+B8</f>
        <v>0.03</v>
      </c>
      <c r="C9" s="33">
        <f>C7+C8</f>
        <v>0.048</v>
      </c>
      <c r="D9" s="33">
        <f>D7+D8</f>
        <v>0.08</v>
      </c>
    </row>
    <row r="11" spans="1:5">
      <c r="A11" s="2" t="s">
        <v>229</v>
      </c>
      <c r="B11" s="2" t="s">
        <v>5</v>
      </c>
      <c r="C11" s="2" t="s">
        <v>6</v>
      </c>
      <c r="D11" s="2" t="s">
        <v>7</v>
      </c>
    </row>
    <row r="12" spans="1:5">
      <c r="A12" s="6" t="s">
        <v>230</v>
      </c>
      <c r="B12" s="15">
        <f>Допущения!C30</f>
        <v>0.04</v>
      </c>
      <c r="C12" s="15">
        <f>Допущения!D30</f>
        <v>0.05</v>
      </c>
      <c r="D12" s="15">
        <f>Допущения!E30</f>
        <v>0.08</v>
      </c>
    </row>
    <row r="13" spans="1:5">
      <c r="A13" s="6" t="s">
        <v>231</v>
      </c>
      <c r="B13" s="15">
        <f>Модель_Пессимист!C135</f>
        <v>0.388184404384709</v>
      </c>
      <c r="C13" s="15">
        <f>Модель_База!C135</f>
        <v>0.0605076919814619</v>
      </c>
      <c r="D13" s="15">
        <f>Модель_Оптимист!C135</f>
        <v>0.0285310370007428</v>
      </c>
    </row>
    <row r="14" spans="1:5">
      <c r="A14" s="6" t="s">
        <v>232</v>
      </c>
      <c r="B14" s="15">
        <f>Модель_Пессимист!C134</f>
        <v>0.426949012449617</v>
      </c>
      <c r="C14" s="15">
        <f>Модель_База!C134</f>
        <v>0.0644616922039176</v>
      </c>
      <c r="D14" s="15">
        <f>Модель_Оптимист!C134</f>
        <v>0.0310616887536098</v>
      </c>
    </row>
    <row r="15" spans="1:5">
      <c r="A15" s="4" t="s">
        <v>233</v>
      </c>
      <c r="B15" s="30">
        <f>IF(ISNUMBER(B13),B12-B13,"н/д")</f>
        <v>-0.348184404384709</v>
      </c>
      <c r="C15" s="30">
        <f>IF(ISNUMBER(C13),C12-C13,"н/д")</f>
        <v>-0.0105076919814619</v>
      </c>
      <c r="D15" s="30">
        <f>IF(ISNUMBER(D13),D12-D13,"н/д")</f>
        <v>0.0514689629992572</v>
      </c>
    </row>
    <row r="17" spans="1:1">
      <c r="A17" s="4" t="s">
        <v>234</v>
      </c>
    </row>
    <row r="18" spans="1:1">
      <c r="A18" s="6" t="s">
        <v>235</v>
      </c>
    </row>
    <row r="19" spans="1:1">
      <c r="A19" s="6" t="s">
        <v>236</v>
      </c>
    </row>
    <row r="20" spans="1:1">
      <c r="A20" s="6" t="s">
        <v>237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5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A1" sqref="A1"/>
    </sheetView>
  </sheetViews>
  <sheetFormatPr defaultColWidth="8.67619047619048" defaultRowHeight="15"/>
  <cols>
    <col min="1" max="1" width="62" customWidth="1"/>
    <col min="2" max="2" width="12" customWidth="1"/>
    <col min="3" max="3" width="14" customWidth="1"/>
    <col min="4" max="15" width="9.51428571428571" customWidth="1"/>
    <col min="16" max="16" width="2" customWidth="1"/>
    <col min="17" max="20" width="11" customWidth="1"/>
  </cols>
  <sheetData>
    <row r="1" ht="18" spans="1:20">
      <c r="A1" s="1" t="s">
        <v>238</v>
      </c>
    </row>
    <row r="2" spans="1:20">
      <c r="A2" s="6" t="s">
        <v>239</v>
      </c>
      <c r="C2" s="7">
        <v>1</v>
      </c>
    </row>
    <row r="3" spans="1:20">
      <c r="A3" s="6" t="s">
        <v>240</v>
      </c>
      <c r="C3" s="8" t="str">
        <f>INDEX(Допущения!$C$4:$E$4,$C$2)</f>
        <v>Пессимист</v>
      </c>
    </row>
    <row r="4" spans="1:20">
      <c r="A4" s="9" t="s">
        <v>241</v>
      </c>
    </row>
    <row r="5" spans="1:20">
      <c r="A5" s="4" t="s">
        <v>242</v>
      </c>
      <c r="D5" s="7">
        <v>1</v>
      </c>
      <c r="E5" s="10">
        <f t="shared" ref="E5:O5" si="0">D5+1</f>
        <v>2</v>
      </c>
      <c r="F5" s="10">
        <f t="shared" si="0"/>
        <v>3</v>
      </c>
      <c r="G5" s="10">
        <f t="shared" si="0"/>
        <v>4</v>
      </c>
      <c r="H5" s="10">
        <f t="shared" si="0"/>
        <v>5</v>
      </c>
      <c r="I5" s="10">
        <f t="shared" si="0"/>
        <v>6</v>
      </c>
      <c r="J5" s="10">
        <f t="shared" si="0"/>
        <v>7</v>
      </c>
      <c r="K5" s="10">
        <f t="shared" si="0"/>
        <v>8</v>
      </c>
      <c r="L5" s="10">
        <f t="shared" si="0"/>
        <v>9</v>
      </c>
      <c r="M5" s="10">
        <f t="shared" si="0"/>
        <v>10</v>
      </c>
      <c r="N5" s="10">
        <f t="shared" si="0"/>
        <v>11</v>
      </c>
      <c r="O5" s="10">
        <f t="shared" si="0"/>
        <v>12</v>
      </c>
    </row>
    <row r="6" spans="1:20">
      <c r="A6" s="4" t="s">
        <v>243</v>
      </c>
      <c r="D6" s="10">
        <f t="shared" ref="D6:O6" si="1">ROUNDUP(D5/4,0)</f>
        <v>1</v>
      </c>
      <c r="E6" s="10">
        <f t="shared" si="1"/>
        <v>1</v>
      </c>
      <c r="F6" s="10">
        <f t="shared" si="1"/>
        <v>1</v>
      </c>
      <c r="G6" s="10">
        <f t="shared" si="1"/>
        <v>1</v>
      </c>
      <c r="H6" s="10">
        <f t="shared" si="1"/>
        <v>2</v>
      </c>
      <c r="I6" s="10">
        <f t="shared" si="1"/>
        <v>2</v>
      </c>
      <c r="J6" s="10">
        <f t="shared" si="1"/>
        <v>2</v>
      </c>
      <c r="K6" s="10">
        <f t="shared" si="1"/>
        <v>2</v>
      </c>
      <c r="L6" s="10">
        <f t="shared" si="1"/>
        <v>3</v>
      </c>
      <c r="M6" s="10">
        <f t="shared" si="1"/>
        <v>3</v>
      </c>
      <c r="N6" s="10">
        <f t="shared" si="1"/>
        <v>3</v>
      </c>
      <c r="O6" s="10">
        <f t="shared" si="1"/>
        <v>3</v>
      </c>
      <c r="Q6" s="7">
        <v>1</v>
      </c>
      <c r="R6" s="7">
        <v>2</v>
      </c>
      <c r="S6" s="7">
        <v>3</v>
      </c>
    </row>
    <row r="7" spans="1:20">
      <c r="A7" s="2" t="s">
        <v>244</v>
      </c>
      <c r="B7" s="2"/>
      <c r="C7" s="2" t="s">
        <v>59</v>
      </c>
      <c r="D7" s="11" t="str">
        <f t="shared" ref="D7:O7" si="2">"Q"&amp;(MOD(D5-1,4)+1)&amp;" "&amp;(2026+D6)</f>
        <v>Q1 2027</v>
      </c>
      <c r="E7" s="11" t="str">
        <f t="shared" si="2"/>
        <v>Q2 2027</v>
      </c>
      <c r="F7" s="11" t="str">
        <f t="shared" si="2"/>
        <v>Q3 2027</v>
      </c>
      <c r="G7" s="11" t="str">
        <f t="shared" si="2"/>
        <v>Q4 2027</v>
      </c>
      <c r="H7" s="11" t="str">
        <f t="shared" si="2"/>
        <v>Q1 2028</v>
      </c>
      <c r="I7" s="11" t="str">
        <f t="shared" si="2"/>
        <v>Q2 2028</v>
      </c>
      <c r="J7" s="11" t="str">
        <f t="shared" si="2"/>
        <v>Q3 2028</v>
      </c>
      <c r="K7" s="11" t="str">
        <f t="shared" si="2"/>
        <v>Q4 2028</v>
      </c>
      <c r="L7" s="11" t="str">
        <f t="shared" si="2"/>
        <v>Q1 2029</v>
      </c>
      <c r="M7" s="11" t="str">
        <f t="shared" si="2"/>
        <v>Q2 2029</v>
      </c>
      <c r="N7" s="11" t="str">
        <f t="shared" si="2"/>
        <v>Q3 2029</v>
      </c>
      <c r="O7" s="11" t="str">
        <f t="shared" si="2"/>
        <v>Q4 2029</v>
      </c>
      <c r="Q7" s="11" t="s">
        <v>30</v>
      </c>
      <c r="R7" s="11" t="s">
        <v>31</v>
      </c>
      <c r="S7" s="11" t="s">
        <v>32</v>
      </c>
      <c r="T7" s="11" t="s">
        <v>33</v>
      </c>
    </row>
    <row r="9" spans="1:20">
      <c r="A9" s="12" t="s">
        <v>245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>
      <c r="A10" s="6" t="s">
        <v>64</v>
      </c>
      <c r="B10" s="6" t="s">
        <v>65</v>
      </c>
      <c r="C10" s="14">
        <f>INDEX(Допущения!$C$6:$E$6,$C$2)</f>
        <v>10000</v>
      </c>
    </row>
    <row r="11" spans="1:20">
      <c r="A11" s="6" t="s">
        <v>68</v>
      </c>
      <c r="B11" s="6" t="s">
        <v>69</v>
      </c>
      <c r="C11" s="14">
        <f>INDEX(Допущения!$C$7:$E$7,$C$2)</f>
        <v>12</v>
      </c>
    </row>
    <row r="12" spans="1:20">
      <c r="A12" s="6" t="s">
        <v>71</v>
      </c>
      <c r="B12" s="6" t="s">
        <v>72</v>
      </c>
      <c r="C12" s="15">
        <f>INDEX(Допущения!$C$8:$E$8,$C$2)</f>
        <v>0.15</v>
      </c>
    </row>
    <row r="13" spans="1:20">
      <c r="A13" s="6" t="s">
        <v>75</v>
      </c>
      <c r="B13" s="6" t="s">
        <v>76</v>
      </c>
      <c r="C13" s="15">
        <f>INDEX(Допущения!$C$9:$E$9,$C$2)</f>
        <v>0.85</v>
      </c>
    </row>
    <row r="14" spans="1:20">
      <c r="A14" s="6" t="s">
        <v>79</v>
      </c>
      <c r="B14" s="6" t="s">
        <v>80</v>
      </c>
      <c r="C14" s="14">
        <f>INDEX(Допущения!$C$11:$E$11,$C$2)</f>
        <v>200</v>
      </c>
    </row>
    <row r="15" spans="1:20">
      <c r="A15" s="6" t="s">
        <v>83</v>
      </c>
      <c r="B15" s="6" t="s">
        <v>72</v>
      </c>
      <c r="C15" s="15">
        <f>INDEX(Допущения!$C$12:$E$12,$C$2)</f>
        <v>0.03</v>
      </c>
    </row>
    <row r="16" spans="1:20">
      <c r="A16" s="6" t="s">
        <v>85</v>
      </c>
      <c r="B16" s="6" t="s">
        <v>76</v>
      </c>
      <c r="C16" s="15">
        <f>INDEX(Допущения!$C$13:$E$13,$C$2)</f>
        <v>0.37</v>
      </c>
    </row>
    <row r="17" spans="1:3">
      <c r="A17" s="6" t="s">
        <v>87</v>
      </c>
      <c r="B17" s="6" t="s">
        <v>88</v>
      </c>
      <c r="C17" s="15">
        <f>INDEX(Допущения!$C$14:$E$14,$C$2)</f>
        <v>0</v>
      </c>
    </row>
    <row r="18" spans="1:3">
      <c r="A18" s="6" t="s">
        <v>90</v>
      </c>
      <c r="B18" s="6" t="s">
        <v>91</v>
      </c>
      <c r="C18" s="14">
        <f>INDEX(Допущения!$C$15:$E$15,$C$2)</f>
        <v>51</v>
      </c>
    </row>
    <row r="19" spans="1:3">
      <c r="A19" s="6" t="s">
        <v>94</v>
      </c>
      <c r="B19" s="6" t="s">
        <v>76</v>
      </c>
      <c r="C19" s="15">
        <f>INDEX(Допущения!$C$17:$E$17,$C$2)</f>
        <v>0.21</v>
      </c>
    </row>
    <row r="20" spans="1:3">
      <c r="A20" s="6" t="s">
        <v>96</v>
      </c>
      <c r="B20" s="6" t="s">
        <v>76</v>
      </c>
      <c r="C20" s="15">
        <f>INDEX(Допущения!$C$18:$E$18,$C$2)</f>
        <v>0.28</v>
      </c>
    </row>
    <row r="21" spans="1:3">
      <c r="A21" s="6" t="s">
        <v>98</v>
      </c>
      <c r="B21" s="6" t="s">
        <v>76</v>
      </c>
      <c r="C21" s="15">
        <f>INDEX(Допущения!$C$19:$E$19,$C$2)</f>
        <v>0.35</v>
      </c>
    </row>
    <row r="22" spans="1:3">
      <c r="A22" s="6" t="s">
        <v>100</v>
      </c>
      <c r="B22" s="6" t="s">
        <v>76</v>
      </c>
      <c r="C22" s="15">
        <f>INDEX(Допущения!$C$20:$E$20,$C$2)</f>
        <v>0.35</v>
      </c>
    </row>
    <row r="23" spans="1:3">
      <c r="A23" s="6" t="s">
        <v>103</v>
      </c>
      <c r="B23" s="6" t="s">
        <v>76</v>
      </c>
      <c r="C23" s="15">
        <f>INDEX(Допущения!$C$22:$E$22,$C$2)</f>
        <v>0.05</v>
      </c>
    </row>
    <row r="24" spans="1:3">
      <c r="A24" s="6" t="s">
        <v>105</v>
      </c>
      <c r="B24" s="6" t="s">
        <v>76</v>
      </c>
      <c r="C24" s="15">
        <f>INDEX(Допущения!$C$23:$E$23,$C$2)</f>
        <v>0.15</v>
      </c>
    </row>
    <row r="25" spans="1:3">
      <c r="A25" s="6" t="s">
        <v>107</v>
      </c>
      <c r="B25" s="6" t="s">
        <v>69</v>
      </c>
      <c r="C25" s="14">
        <f>INDEX(Допущения!$C$24:$E$24,$C$2)</f>
        <v>2</v>
      </c>
    </row>
    <row r="26" spans="1:3">
      <c r="A26" s="6" t="s">
        <v>109</v>
      </c>
      <c r="B26" s="6" t="s">
        <v>76</v>
      </c>
      <c r="C26" s="15">
        <f>INDEX(Допущения!$C$25:$E$25,$C$2)</f>
        <v>0.05</v>
      </c>
    </row>
    <row r="27" spans="1:3">
      <c r="A27" s="6" t="s">
        <v>111</v>
      </c>
      <c r="B27" s="6" t="s">
        <v>76</v>
      </c>
      <c r="C27" s="15">
        <f>INDEX(Допущения!$C$26:$E$26,$C$2)</f>
        <v>0.12</v>
      </c>
    </row>
    <row r="28" spans="1:3">
      <c r="A28" s="6" t="s">
        <v>112</v>
      </c>
      <c r="B28" s="6" t="s">
        <v>113</v>
      </c>
      <c r="C28" s="14">
        <f>INDEX(Допущения!$C$27:$E$27,$C$2)</f>
        <v>150</v>
      </c>
    </row>
    <row r="29" spans="1:3">
      <c r="A29" s="6" t="s">
        <v>114</v>
      </c>
      <c r="B29" s="6" t="s">
        <v>76</v>
      </c>
      <c r="C29" s="15">
        <f>INDEX(Допущения!$C$28:$E$28,$C$2)</f>
        <v>0.2</v>
      </c>
    </row>
    <row r="30" spans="1:3">
      <c r="A30" s="6" t="s">
        <v>117</v>
      </c>
      <c r="B30" s="6" t="s">
        <v>76</v>
      </c>
      <c r="C30" s="15">
        <f>INDEX(Допущения!$C$30:$E$30,$C$2)</f>
        <v>0.04</v>
      </c>
    </row>
    <row r="31" spans="1:3">
      <c r="A31" s="6" t="s">
        <v>122</v>
      </c>
      <c r="B31" s="6" t="s">
        <v>76</v>
      </c>
      <c r="C31" s="15">
        <f>INDEX(Допущения!$C$32:$E$32,$C$2)</f>
        <v>0.005</v>
      </c>
    </row>
    <row r="32" spans="1:3">
      <c r="A32" s="6" t="s">
        <v>120</v>
      </c>
      <c r="B32" s="6" t="s">
        <v>76</v>
      </c>
      <c r="C32" s="15">
        <f>INDEX(Допущения!$C$31:$E$31,$C$2)</f>
        <v>0.65</v>
      </c>
    </row>
    <row r="33" spans="1:3">
      <c r="A33" s="6" t="s">
        <v>124</v>
      </c>
      <c r="B33" s="6" t="s">
        <v>113</v>
      </c>
      <c r="C33" s="14">
        <f>INDEX(Допущения!$C$33:$E$33,$C$2)</f>
        <v>2000</v>
      </c>
    </row>
    <row r="34" spans="1:3">
      <c r="A34" s="6" t="s">
        <v>127</v>
      </c>
      <c r="B34" s="6" t="s">
        <v>76</v>
      </c>
      <c r="C34" s="15">
        <f>INDEX(Допущения!$C$34:$E$34,$C$2)</f>
        <v>0.1125</v>
      </c>
    </row>
    <row r="35" spans="1:3">
      <c r="A35" s="6" t="s">
        <v>129</v>
      </c>
      <c r="B35" s="6" t="s">
        <v>72</v>
      </c>
      <c r="C35" s="15">
        <f>INDEX(Допущения!$C$35:$E$35,$C$2)</f>
        <v>0.04</v>
      </c>
    </row>
    <row r="36" spans="1:3">
      <c r="A36" s="6" t="s">
        <v>246</v>
      </c>
      <c r="B36" s="6" t="s">
        <v>113</v>
      </c>
      <c r="C36" s="14">
        <f>$C$33*$C$34</f>
        <v>225</v>
      </c>
    </row>
    <row r="37" spans="1:3">
      <c r="A37" s="6" t="s">
        <v>132</v>
      </c>
      <c r="B37" s="6" t="s">
        <v>76</v>
      </c>
      <c r="C37" s="15">
        <f>INDEX(Допущения!$C$37:$E$37,$C$2)</f>
        <v>0.12</v>
      </c>
    </row>
    <row r="38" spans="1:3">
      <c r="A38" s="6" t="s">
        <v>134</v>
      </c>
      <c r="B38" s="6" t="s">
        <v>135</v>
      </c>
      <c r="C38" s="16">
        <f>INDEX(Допущения!$C$38:$E$38,$C$2)</f>
        <v>0.5</v>
      </c>
    </row>
    <row r="39" spans="1:3">
      <c r="A39" s="6" t="s">
        <v>137</v>
      </c>
      <c r="B39" s="6" t="s">
        <v>138</v>
      </c>
      <c r="C39" s="14">
        <f>INDEX(Допущения!$C$39:$E$39,$C$2)</f>
        <v>8</v>
      </c>
    </row>
    <row r="40" spans="1:3">
      <c r="A40" s="6" t="s">
        <v>139</v>
      </c>
      <c r="B40" s="6" t="s">
        <v>113</v>
      </c>
      <c r="C40" s="16">
        <f>INDEX(Допущения!$C$40:$E$40,$C$2)</f>
        <v>0.05</v>
      </c>
    </row>
    <row r="41" spans="1:3">
      <c r="A41" s="6" t="s">
        <v>142</v>
      </c>
      <c r="B41" s="6" t="s">
        <v>143</v>
      </c>
      <c r="C41" s="16">
        <f>INDEX(Допущения!$C$42:$E$42,$C$2)</f>
        <v>0</v>
      </c>
    </row>
    <row r="42" spans="1:3">
      <c r="A42" s="6" t="s">
        <v>145</v>
      </c>
      <c r="B42" s="6" t="s">
        <v>113</v>
      </c>
      <c r="C42" s="14">
        <f>INDEX(Допущения!$C$43:$E$43,$C$2)</f>
        <v>150</v>
      </c>
    </row>
    <row r="43" spans="1:3">
      <c r="A43" s="6" t="s">
        <v>247</v>
      </c>
      <c r="B43" s="6" t="s">
        <v>153</v>
      </c>
      <c r="C43" s="17">
        <f>Допущения!C54*INDEX(Допущения!$C$57:$E$57,$C$2)</f>
        <v>15</v>
      </c>
    </row>
    <row r="44" spans="1:3">
      <c r="A44" s="6" t="s">
        <v>248</v>
      </c>
      <c r="B44" s="6" t="s">
        <v>153</v>
      </c>
      <c r="C44" s="17">
        <f>Допущения!D54*INDEX(Допущения!$C$57:$E$57,$C$2)</f>
        <v>19</v>
      </c>
    </row>
    <row r="45" spans="1:3">
      <c r="A45" s="6" t="s">
        <v>249</v>
      </c>
      <c r="B45" s="6" t="s">
        <v>153</v>
      </c>
      <c r="C45" s="17">
        <f>Допущения!E54*INDEX(Допущения!$C$57:$E$57,$C$2)</f>
        <v>20</v>
      </c>
    </row>
    <row r="46" spans="1:3">
      <c r="A46" s="6" t="s">
        <v>167</v>
      </c>
      <c r="B46" s="6" t="s">
        <v>168</v>
      </c>
      <c r="C46" s="14">
        <f>INDEX(Допущения!$C$58:$E$58,$C$2)</f>
        <v>450</v>
      </c>
    </row>
    <row r="47" spans="1:3">
      <c r="A47" s="6" t="s">
        <v>170</v>
      </c>
      <c r="B47" s="6" t="s">
        <v>72</v>
      </c>
      <c r="C47" s="15">
        <f>INDEX(Допущения!$C$59:$E$59,$C$2)</f>
        <v>0.08</v>
      </c>
    </row>
    <row r="48" spans="1:3">
      <c r="A48" s="6" t="s">
        <v>172</v>
      </c>
      <c r="B48" s="6" t="s">
        <v>138</v>
      </c>
      <c r="C48" s="16">
        <f>INDEX(Допущения!$C$61:$E$61,$C$2)</f>
        <v>2</v>
      </c>
    </row>
    <row r="49" spans="1:20">
      <c r="A49" s="6" t="s">
        <v>174</v>
      </c>
      <c r="B49" s="6" t="s">
        <v>113</v>
      </c>
      <c r="C49" s="16">
        <f>INDEX(Допущения!$C$62:$E$62,$C$2)</f>
        <v>1</v>
      </c>
    </row>
    <row r="50" spans="1:20">
      <c r="A50" s="6" t="s">
        <v>176</v>
      </c>
      <c r="B50" s="6" t="s">
        <v>76</v>
      </c>
      <c r="C50" s="15">
        <f>INDEX(Допущения!$C$63:$E$63,$C$2)</f>
        <v>0.06</v>
      </c>
    </row>
    <row r="51" spans="1:20">
      <c r="A51" s="6" t="s">
        <v>177</v>
      </c>
      <c r="B51" s="6" t="s">
        <v>113</v>
      </c>
      <c r="C51" s="14">
        <f>INDEX(Допущения!$C$64:$E$64,$C$2)</f>
        <v>20</v>
      </c>
    </row>
    <row r="52" spans="1:20">
      <c r="A52" s="6" t="s">
        <v>178</v>
      </c>
      <c r="B52" s="6" t="s">
        <v>113</v>
      </c>
      <c r="C52" s="16">
        <f>INDEX(Допущения!$C$65:$E$65,$C$2)</f>
        <v>2</v>
      </c>
    </row>
    <row r="53" spans="1:20">
      <c r="A53" s="6" t="s">
        <v>179</v>
      </c>
      <c r="B53" s="6" t="s">
        <v>65</v>
      </c>
      <c r="C53" s="18">
        <f>INDEX(Допущения!$C$66:$E$66,$C$2)</f>
        <v>2.5</v>
      </c>
    </row>
    <row r="54" spans="1:20">
      <c r="A54" s="6" t="s">
        <v>180</v>
      </c>
      <c r="B54" s="6" t="s">
        <v>181</v>
      </c>
      <c r="C54" s="14">
        <f>INDEX(Допущения!$C$67:$E$67,$C$2)</f>
        <v>2</v>
      </c>
    </row>
    <row r="55" spans="1:20">
      <c r="A55" s="6" t="s">
        <v>183</v>
      </c>
      <c r="B55" s="6" t="s">
        <v>76</v>
      </c>
      <c r="C55" s="15">
        <f>INDEX(Допущения!$C$68:$E$68,$C$2)</f>
        <v>0.5</v>
      </c>
    </row>
    <row r="56" spans="1:20">
      <c r="A56" s="6" t="s">
        <v>185</v>
      </c>
      <c r="B56" s="6" t="s">
        <v>113</v>
      </c>
      <c r="C56" s="14">
        <f>INDEX(Допущения!$C$69:$E$69,$C$2)</f>
        <v>40</v>
      </c>
    </row>
    <row r="57" spans="1:20">
      <c r="A57" s="6" t="s">
        <v>187</v>
      </c>
      <c r="B57" s="6" t="s">
        <v>188</v>
      </c>
      <c r="C57" s="14">
        <f>INDEX(Допущения!$C$70:$E$70,$C$2)</f>
        <v>150</v>
      </c>
    </row>
    <row r="58" spans="1:20">
      <c r="A58" s="6" t="s">
        <v>190</v>
      </c>
      <c r="B58" s="6" t="s">
        <v>76</v>
      </c>
      <c r="C58" s="15">
        <f>INDEX(Допущения!$C$71:$E$71,$C$2)</f>
        <v>0.1</v>
      </c>
    </row>
    <row r="59" spans="1:20">
      <c r="A59" s="6" t="s">
        <v>192</v>
      </c>
      <c r="B59" s="6" t="s">
        <v>65</v>
      </c>
      <c r="C59" s="14">
        <f>INDEX(Допущения!$C$73:$E$73,$C$2)</f>
        <v>60</v>
      </c>
    </row>
    <row r="60" spans="1:20">
      <c r="A60" s="6" t="s">
        <v>194</v>
      </c>
      <c r="B60" s="6" t="s">
        <v>181</v>
      </c>
      <c r="C60" s="14">
        <f>INDEX(Допущения!$C$74:$E$74,$C$2)</f>
        <v>3</v>
      </c>
    </row>
    <row r="61" spans="1:20">
      <c r="A61" s="6" t="s">
        <v>195</v>
      </c>
      <c r="B61" s="6" t="s">
        <v>181</v>
      </c>
      <c r="C61" s="14">
        <f>INDEX(Допущения!$C$75:$E$75,$C$2)</f>
        <v>4</v>
      </c>
    </row>
    <row r="62" spans="1:20">
      <c r="A62" s="6" t="s">
        <v>196</v>
      </c>
      <c r="B62" s="6" t="s">
        <v>65</v>
      </c>
      <c r="C62" s="18">
        <f>INDEX(Допущения!$C$76:$E$76,$C$2)</f>
        <v>4</v>
      </c>
    </row>
    <row r="64" spans="1:20">
      <c r="A64" s="12" t="s">
        <v>250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>
      <c r="A65" s="6" t="s">
        <v>251</v>
      </c>
      <c r="B65" s="6" t="s">
        <v>252</v>
      </c>
      <c r="D65" s="19">
        <f t="shared" ref="D65:O65" si="3">$C$14*1000*(1+$C$15)^D$6/4</f>
        <v>51500</v>
      </c>
      <c r="E65" s="19">
        <f t="shared" si="3"/>
        <v>51500</v>
      </c>
      <c r="F65" s="19">
        <f t="shared" si="3"/>
        <v>51500</v>
      </c>
      <c r="G65" s="19">
        <f t="shared" si="3"/>
        <v>51500</v>
      </c>
      <c r="H65" s="19">
        <f t="shared" si="3"/>
        <v>53045</v>
      </c>
      <c r="I65" s="19">
        <f t="shared" si="3"/>
        <v>53045</v>
      </c>
      <c r="J65" s="19">
        <f t="shared" si="3"/>
        <v>53045</v>
      </c>
      <c r="K65" s="19">
        <f t="shared" si="3"/>
        <v>53045</v>
      </c>
      <c r="L65" s="19">
        <f t="shared" si="3"/>
        <v>54636.35</v>
      </c>
      <c r="M65" s="19">
        <f t="shared" si="3"/>
        <v>54636.35</v>
      </c>
      <c r="N65" s="19">
        <f t="shared" si="3"/>
        <v>54636.35</v>
      </c>
      <c r="O65" s="19">
        <f t="shared" si="3"/>
        <v>54636.35</v>
      </c>
      <c r="Q65" s="19">
        <f>SUMIF($D$6:$O$6,Q$6,$D65:$O65)</f>
        <v>206000</v>
      </c>
      <c r="R65" s="19">
        <f>SUMIF($D$6:$O$6,R$6,$D65:$O65)</f>
        <v>212180</v>
      </c>
      <c r="S65" s="19">
        <f>SUMIF($D$6:$O$6,S$6,$D65:$O65)</f>
        <v>218545.4</v>
      </c>
      <c r="T65" s="10">
        <f>SUM(Q65:S65)</f>
        <v>636725.4</v>
      </c>
    </row>
    <row r="66" spans="1:20">
      <c r="A66" s="6" t="s">
        <v>253</v>
      </c>
      <c r="B66" s="6" t="s">
        <v>76</v>
      </c>
      <c r="D66" s="20">
        <f t="shared" ref="D66:O66" si="4">$C$16+$C$17*D$6</f>
        <v>0.37</v>
      </c>
      <c r="E66" s="20">
        <f t="shared" si="4"/>
        <v>0.37</v>
      </c>
      <c r="F66" s="20">
        <f t="shared" si="4"/>
        <v>0.37</v>
      </c>
      <c r="G66" s="20">
        <f t="shared" si="4"/>
        <v>0.37</v>
      </c>
      <c r="H66" s="20">
        <f t="shared" si="4"/>
        <v>0.37</v>
      </c>
      <c r="I66" s="20">
        <f t="shared" si="4"/>
        <v>0.37</v>
      </c>
      <c r="J66" s="20">
        <f t="shared" si="4"/>
        <v>0.37</v>
      </c>
      <c r="K66" s="20">
        <f t="shared" si="4"/>
        <v>0.37</v>
      </c>
      <c r="L66" s="20">
        <f t="shared" si="4"/>
        <v>0.37</v>
      </c>
      <c r="M66" s="20">
        <f t="shared" si="4"/>
        <v>0.37</v>
      </c>
      <c r="N66" s="20">
        <f t="shared" si="4"/>
        <v>0.37</v>
      </c>
      <c r="O66" s="20">
        <f t="shared" si="4"/>
        <v>0.37</v>
      </c>
    </row>
    <row r="67" spans="1:20">
      <c r="A67" s="6" t="s">
        <v>254</v>
      </c>
      <c r="B67" s="6" t="s">
        <v>252</v>
      </c>
      <c r="D67" s="19">
        <f t="shared" ref="D67:O67" si="5">D65*D66</f>
        <v>19055</v>
      </c>
      <c r="E67" s="19">
        <f t="shared" si="5"/>
        <v>19055</v>
      </c>
      <c r="F67" s="19">
        <f t="shared" si="5"/>
        <v>19055</v>
      </c>
      <c r="G67" s="19">
        <f t="shared" si="5"/>
        <v>19055</v>
      </c>
      <c r="H67" s="19">
        <f t="shared" si="5"/>
        <v>19626.65</v>
      </c>
      <c r="I67" s="19">
        <f t="shared" si="5"/>
        <v>19626.65</v>
      </c>
      <c r="J67" s="19">
        <f t="shared" si="5"/>
        <v>19626.65</v>
      </c>
      <c r="K67" s="19">
        <f t="shared" si="5"/>
        <v>19626.65</v>
      </c>
      <c r="L67" s="19">
        <f t="shared" si="5"/>
        <v>20215.4495</v>
      </c>
      <c r="M67" s="19">
        <f t="shared" si="5"/>
        <v>20215.4495</v>
      </c>
      <c r="N67" s="19">
        <f t="shared" si="5"/>
        <v>20215.4495</v>
      </c>
      <c r="O67" s="19">
        <f t="shared" si="5"/>
        <v>20215.4495</v>
      </c>
      <c r="Q67" s="19">
        <f>SUMIF($D$6:$O$6,Q$6,$D67:$O67)</f>
        <v>76220</v>
      </c>
      <c r="R67" s="19">
        <f>SUMIF($D$6:$O$6,R$6,$D67:$O67)</f>
        <v>78506.6</v>
      </c>
      <c r="S67" s="19">
        <f>SUMIF($D$6:$O$6,S$6,$D67:$O67)</f>
        <v>80861.798</v>
      </c>
      <c r="T67" s="10">
        <f>SUM(Q67:S67)</f>
        <v>235588.398</v>
      </c>
    </row>
    <row r="68" spans="1:20">
      <c r="A68" s="6" t="s">
        <v>255</v>
      </c>
      <c r="B68" s="6" t="s">
        <v>76</v>
      </c>
      <c r="D68" s="20">
        <f t="shared" ref="D68:O68" si="6">INDEX($C$19:$C$21,D$6)</f>
        <v>0.21</v>
      </c>
      <c r="E68" s="20">
        <f t="shared" si="6"/>
        <v>0.21</v>
      </c>
      <c r="F68" s="20">
        <f t="shared" si="6"/>
        <v>0.21</v>
      </c>
      <c r="G68" s="20">
        <f t="shared" si="6"/>
        <v>0.21</v>
      </c>
      <c r="H68" s="20">
        <f t="shared" si="6"/>
        <v>0.28</v>
      </c>
      <c r="I68" s="20">
        <f t="shared" si="6"/>
        <v>0.28</v>
      </c>
      <c r="J68" s="20">
        <f t="shared" si="6"/>
        <v>0.28</v>
      </c>
      <c r="K68" s="20">
        <f t="shared" si="6"/>
        <v>0.28</v>
      </c>
      <c r="L68" s="20">
        <f t="shared" si="6"/>
        <v>0.35</v>
      </c>
      <c r="M68" s="20">
        <f t="shared" si="6"/>
        <v>0.35</v>
      </c>
      <c r="N68" s="20">
        <f t="shared" si="6"/>
        <v>0.35</v>
      </c>
      <c r="O68" s="20">
        <f t="shared" si="6"/>
        <v>0.35</v>
      </c>
    </row>
    <row r="69" spans="1:20">
      <c r="A69" s="6" t="s">
        <v>256</v>
      </c>
      <c r="B69" s="6" t="s">
        <v>76</v>
      </c>
      <c r="D69" s="21">
        <f>INDEX(Допущения!D$79:D$81,$C$2)</f>
        <v>0</v>
      </c>
      <c r="E69" s="21">
        <f>INDEX(Допущения!E$79:E$81,$C$2)</f>
        <v>0</v>
      </c>
      <c r="F69" s="21">
        <f>INDEX(Допущения!F$79:F$81,$C$2)</f>
        <v>0.05</v>
      </c>
      <c r="G69" s="21">
        <f>INDEX(Допущения!G$79:G$81,$C$2)</f>
        <v>0.1</v>
      </c>
      <c r="H69" s="21">
        <f>INDEX(Допущения!H$79:H$81,$C$2)</f>
        <v>0.2</v>
      </c>
      <c r="I69" s="21">
        <f>INDEX(Допущения!I$79:I$81,$C$2)</f>
        <v>0.3</v>
      </c>
      <c r="J69" s="21">
        <f>INDEX(Допущения!J$79:J$81,$C$2)</f>
        <v>0.4</v>
      </c>
      <c r="K69" s="21">
        <f>INDEX(Допущения!K$79:K$81,$C$2)</f>
        <v>0.5</v>
      </c>
      <c r="L69" s="21">
        <f>INDEX(Допущения!L$79:L$81,$C$2)</f>
        <v>0.6</v>
      </c>
      <c r="M69" s="21">
        <f>INDEX(Допущения!M$79:M$81,$C$2)</f>
        <v>0.7</v>
      </c>
      <c r="N69" s="21">
        <f>INDEX(Допущения!N$79:N$81,$C$2)</f>
        <v>0.8</v>
      </c>
      <c r="O69" s="21">
        <f>INDEX(Допущения!O$79:O$81,$C$2)</f>
        <v>0.9</v>
      </c>
    </row>
    <row r="70" spans="1:20">
      <c r="A70" s="6" t="s">
        <v>257</v>
      </c>
      <c r="B70" s="6" t="s">
        <v>252</v>
      </c>
      <c r="D70" s="19">
        <f t="shared" ref="D70:O70" si="7">D67*D68</f>
        <v>4001.55</v>
      </c>
      <c r="E70" s="19">
        <f t="shared" si="7"/>
        <v>4001.55</v>
      </c>
      <c r="F70" s="19">
        <f t="shared" si="7"/>
        <v>4001.55</v>
      </c>
      <c r="G70" s="19">
        <f t="shared" si="7"/>
        <v>4001.55</v>
      </c>
      <c r="H70" s="19">
        <f t="shared" si="7"/>
        <v>5495.462</v>
      </c>
      <c r="I70" s="19">
        <f t="shared" si="7"/>
        <v>5495.462</v>
      </c>
      <c r="J70" s="19">
        <f t="shared" si="7"/>
        <v>5495.462</v>
      </c>
      <c r="K70" s="19">
        <f t="shared" si="7"/>
        <v>5495.462</v>
      </c>
      <c r="L70" s="19">
        <f t="shared" si="7"/>
        <v>7075.407325</v>
      </c>
      <c r="M70" s="19">
        <f t="shared" si="7"/>
        <v>7075.407325</v>
      </c>
      <c r="N70" s="19">
        <f t="shared" si="7"/>
        <v>7075.407325</v>
      </c>
      <c r="O70" s="19">
        <f t="shared" si="7"/>
        <v>7075.407325</v>
      </c>
      <c r="Q70" s="19">
        <f>SUMIF($D$6:$O$6,Q$6,$D70:$O70)</f>
        <v>16006.2</v>
      </c>
      <c r="R70" s="19">
        <f>SUMIF($D$6:$O$6,R$6,$D70:$O70)</f>
        <v>21981.848</v>
      </c>
      <c r="S70" s="19">
        <f>SUMIF($D$6:$O$6,S$6,$D70:$O70)</f>
        <v>28301.6293</v>
      </c>
      <c r="T70" s="10">
        <f>SUM(Q70:S70)</f>
        <v>66289.6773</v>
      </c>
    </row>
    <row r="71" spans="1:20">
      <c r="A71" s="6" t="s">
        <v>258</v>
      </c>
      <c r="B71" s="6" t="s">
        <v>252</v>
      </c>
      <c r="D71" s="19">
        <f t="shared" ref="D71:O71" si="8">D70*$C$22*D69</f>
        <v>0</v>
      </c>
      <c r="E71" s="19">
        <f t="shared" si="8"/>
        <v>0</v>
      </c>
      <c r="F71" s="19">
        <f t="shared" si="8"/>
        <v>70.027125</v>
      </c>
      <c r="G71" s="19">
        <f t="shared" si="8"/>
        <v>140.05425</v>
      </c>
      <c r="H71" s="19">
        <f t="shared" si="8"/>
        <v>384.68234</v>
      </c>
      <c r="I71" s="19">
        <f t="shared" si="8"/>
        <v>577.02351</v>
      </c>
      <c r="J71" s="19">
        <f t="shared" si="8"/>
        <v>769.36468</v>
      </c>
      <c r="K71" s="19">
        <f t="shared" si="8"/>
        <v>961.70585</v>
      </c>
      <c r="L71" s="19">
        <f t="shared" si="8"/>
        <v>1485.83553825</v>
      </c>
      <c r="M71" s="19">
        <f t="shared" si="8"/>
        <v>1733.474794625</v>
      </c>
      <c r="N71" s="19">
        <f t="shared" si="8"/>
        <v>1981.114051</v>
      </c>
      <c r="O71" s="19">
        <f t="shared" si="8"/>
        <v>2228.753307375</v>
      </c>
      <c r="Q71" s="19">
        <f>SUMIF($D$6:$O$6,Q$6,$D71:$O71)</f>
        <v>210.081375</v>
      </c>
      <c r="R71" s="19">
        <f>SUMIF($D$6:$O$6,R$6,$D71:$O71)</f>
        <v>2692.77638</v>
      </c>
      <c r="S71" s="19">
        <f>SUMIF($D$6:$O$6,S$6,$D71:$O71)</f>
        <v>7429.17769125</v>
      </c>
      <c r="T71" s="10">
        <f>SUM(Q71:S71)</f>
        <v>10332.03544625</v>
      </c>
    </row>
    <row r="73" spans="1:20">
      <c r="A73" s="12" t="s">
        <v>259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>
      <c r="A74" s="6" t="s">
        <v>260</v>
      </c>
      <c r="B74" s="6" t="s">
        <v>252</v>
      </c>
      <c r="D74" s="19">
        <f t="shared" ref="D74:O74" si="9">D70*D69*$C$23</f>
        <v>0</v>
      </c>
      <c r="E74" s="19">
        <f t="shared" si="9"/>
        <v>0</v>
      </c>
      <c r="F74" s="19">
        <f t="shared" si="9"/>
        <v>10.003875</v>
      </c>
      <c r="G74" s="19">
        <f t="shared" si="9"/>
        <v>20.00775</v>
      </c>
      <c r="H74" s="19">
        <f t="shared" si="9"/>
        <v>54.95462</v>
      </c>
      <c r="I74" s="19">
        <f t="shared" si="9"/>
        <v>82.43193</v>
      </c>
      <c r="J74" s="19">
        <f t="shared" si="9"/>
        <v>109.90924</v>
      </c>
      <c r="K74" s="19">
        <f t="shared" si="9"/>
        <v>137.38655</v>
      </c>
      <c r="L74" s="19">
        <f t="shared" si="9"/>
        <v>212.26221975</v>
      </c>
      <c r="M74" s="19">
        <f t="shared" si="9"/>
        <v>247.639256375</v>
      </c>
      <c r="N74" s="19">
        <f t="shared" si="9"/>
        <v>283.016293</v>
      </c>
      <c r="O74" s="19">
        <f t="shared" si="9"/>
        <v>318.393329625</v>
      </c>
      <c r="Q74" s="19">
        <f>SUMIF($D$6:$O$6,Q$6,$D74:$O74)</f>
        <v>30.011625</v>
      </c>
      <c r="R74" s="19">
        <f>SUMIF($D$6:$O$6,R$6,$D74:$O74)</f>
        <v>384.68234</v>
      </c>
      <c r="S74" s="19">
        <f>SUMIF($D$6:$O$6,S$6,$D74:$O74)</f>
        <v>1061.31109875</v>
      </c>
      <c r="T74" s="10">
        <f>SUM(Q74:S74)</f>
        <v>1476.00506375</v>
      </c>
    </row>
    <row r="75" spans="1:20">
      <c r="A75" s="6" t="s">
        <v>261</v>
      </c>
      <c r="B75" s="6" t="s">
        <v>252</v>
      </c>
      <c r="D75" s="19">
        <f t="shared" ref="D75:O75" si="10">IF(D$5&gt;$C$25,INDEX($D$74:$O$74,D$5-$C$25),0)*$C$24</f>
        <v>0</v>
      </c>
      <c r="E75" s="19">
        <f t="shared" si="10"/>
        <v>0</v>
      </c>
      <c r="F75" s="19">
        <f t="shared" si="10"/>
        <v>0</v>
      </c>
      <c r="G75" s="19">
        <f t="shared" si="10"/>
        <v>0</v>
      </c>
      <c r="H75" s="19">
        <f t="shared" si="10"/>
        <v>1.50058125</v>
      </c>
      <c r="I75" s="19">
        <f t="shared" si="10"/>
        <v>3.0011625</v>
      </c>
      <c r="J75" s="19">
        <f t="shared" si="10"/>
        <v>8.243193</v>
      </c>
      <c r="K75" s="19">
        <f t="shared" si="10"/>
        <v>12.3647895</v>
      </c>
      <c r="L75" s="19">
        <f t="shared" si="10"/>
        <v>16.486386</v>
      </c>
      <c r="M75" s="19">
        <f t="shared" si="10"/>
        <v>20.6079825</v>
      </c>
      <c r="N75" s="19">
        <f t="shared" si="10"/>
        <v>31.8393329625</v>
      </c>
      <c r="O75" s="19">
        <f t="shared" si="10"/>
        <v>37.14588845625</v>
      </c>
      <c r="Q75" s="19">
        <f>SUMIF($D$6:$O$6,Q$6,$D75:$O75)</f>
        <v>0</v>
      </c>
      <c r="R75" s="19">
        <f>SUMIF($D$6:$O$6,R$6,$D75:$O75)</f>
        <v>25.10972625</v>
      </c>
      <c r="S75" s="19">
        <f>SUMIF($D$6:$O$6,S$6,$D75:$O75)</f>
        <v>106.07958991875</v>
      </c>
      <c r="T75" s="10">
        <f>SUM(Q75:S75)</f>
        <v>131.18931616875</v>
      </c>
    </row>
    <row r="76" spans="1:20">
      <c r="A76" s="6" t="s">
        <v>262</v>
      </c>
      <c r="B76" s="6" t="s">
        <v>252</v>
      </c>
      <c r="D76" s="22">
        <f t="shared" ref="D76:O76" si="11">D75*$C$26</f>
        <v>0</v>
      </c>
      <c r="E76" s="22">
        <f t="shared" si="11"/>
        <v>0</v>
      </c>
      <c r="F76" s="22">
        <f t="shared" si="11"/>
        <v>0</v>
      </c>
      <c r="G76" s="22">
        <f t="shared" si="11"/>
        <v>0</v>
      </c>
      <c r="H76" s="22">
        <f t="shared" si="11"/>
        <v>0.0750290625</v>
      </c>
      <c r="I76" s="22">
        <f t="shared" si="11"/>
        <v>0.150058125</v>
      </c>
      <c r="J76" s="22">
        <f t="shared" si="11"/>
        <v>0.41215965</v>
      </c>
      <c r="K76" s="22">
        <f t="shared" si="11"/>
        <v>0.618239475</v>
      </c>
      <c r="L76" s="22">
        <f t="shared" si="11"/>
        <v>0.8243193</v>
      </c>
      <c r="M76" s="22">
        <f t="shared" si="11"/>
        <v>1.030399125</v>
      </c>
      <c r="N76" s="22">
        <f t="shared" si="11"/>
        <v>1.591966648125</v>
      </c>
      <c r="O76" s="22">
        <f t="shared" si="11"/>
        <v>1.8572944228125</v>
      </c>
      <c r="Q76" s="22">
        <f>SUMIF($D$6:$O$6,Q$6,$D76:$O76)</f>
        <v>0</v>
      </c>
      <c r="R76" s="22">
        <f>SUMIF($D$6:$O$6,R$6,$D76:$O76)</f>
        <v>1.2554863125</v>
      </c>
      <c r="S76" s="22">
        <f>SUMIF($D$6:$O$6,S$6,$D76:$O76)</f>
        <v>5.3039794959375</v>
      </c>
      <c r="T76" s="23">
        <f>SUM(Q76:S76)</f>
        <v>6.5594658084375</v>
      </c>
    </row>
    <row r="77" spans="1:20">
      <c r="A77" s="6" t="s">
        <v>263</v>
      </c>
      <c r="B77" s="6" t="s">
        <v>252</v>
      </c>
      <c r="D77" s="22">
        <f t="shared" ref="D77:O77" si="12">D76*$C$27</f>
        <v>0</v>
      </c>
      <c r="E77" s="22">
        <f t="shared" si="12"/>
        <v>0</v>
      </c>
      <c r="F77" s="22">
        <f t="shared" si="12"/>
        <v>0</v>
      </c>
      <c r="G77" s="22">
        <f t="shared" si="12"/>
        <v>0</v>
      </c>
      <c r="H77" s="22">
        <f t="shared" si="12"/>
        <v>0.0090034875</v>
      </c>
      <c r="I77" s="22">
        <f t="shared" si="12"/>
        <v>0.018006975</v>
      </c>
      <c r="J77" s="22">
        <f t="shared" si="12"/>
        <v>0.049459158</v>
      </c>
      <c r="K77" s="22">
        <f t="shared" si="12"/>
        <v>0.074188737</v>
      </c>
      <c r="L77" s="22">
        <f t="shared" si="12"/>
        <v>0.098918316</v>
      </c>
      <c r="M77" s="22">
        <f t="shared" si="12"/>
        <v>0.123647895</v>
      </c>
      <c r="N77" s="22">
        <f t="shared" si="12"/>
        <v>0.191035997775</v>
      </c>
      <c r="O77" s="22">
        <f t="shared" si="12"/>
        <v>0.2228753307375</v>
      </c>
      <c r="Q77" s="22">
        <f>SUMIF($D$6:$O$6,Q$6,$D77:$O77)</f>
        <v>0</v>
      </c>
      <c r="R77" s="22">
        <f>SUMIF($D$6:$O$6,R$6,$D77:$O77)</f>
        <v>0.1506583575</v>
      </c>
      <c r="S77" s="22">
        <f>SUMIF($D$6:$O$6,S$6,$D77:$O77)</f>
        <v>0.6364775395125</v>
      </c>
      <c r="T77" s="23">
        <f>SUM(Q77:S77)</f>
        <v>0.7871358970125</v>
      </c>
    </row>
    <row r="79" spans="1:20">
      <c r="A79" s="12" t="s">
        <v>264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>
      <c r="A80" s="6" t="s">
        <v>265</v>
      </c>
      <c r="B80" s="6" t="s">
        <v>113</v>
      </c>
      <c r="D80" s="19">
        <f t="shared" ref="D80:O80" si="13">$C$36*(1+$C$35)^(D$6-1)</f>
        <v>225</v>
      </c>
      <c r="E80" s="19">
        <f t="shared" si="13"/>
        <v>225</v>
      </c>
      <c r="F80" s="19">
        <f t="shared" si="13"/>
        <v>225</v>
      </c>
      <c r="G80" s="19">
        <f t="shared" si="13"/>
        <v>225</v>
      </c>
      <c r="H80" s="19">
        <f t="shared" si="13"/>
        <v>234</v>
      </c>
      <c r="I80" s="19">
        <f t="shared" si="13"/>
        <v>234</v>
      </c>
      <c r="J80" s="19">
        <f t="shared" si="13"/>
        <v>234</v>
      </c>
      <c r="K80" s="19">
        <f t="shared" si="13"/>
        <v>234</v>
      </c>
      <c r="L80" s="19">
        <f t="shared" si="13"/>
        <v>243.36</v>
      </c>
      <c r="M80" s="19">
        <f t="shared" si="13"/>
        <v>243.36</v>
      </c>
      <c r="N80" s="19">
        <f t="shared" si="13"/>
        <v>243.36</v>
      </c>
      <c r="O80" s="19">
        <f t="shared" si="13"/>
        <v>243.36</v>
      </c>
      <c r="Q80" s="19">
        <f>AVERAGEIF($D$6:$O$6,Q$6,$D80:$O80)</f>
        <v>225</v>
      </c>
      <c r="R80" s="19">
        <f>AVERAGEIF($D$6:$O$6,R$6,$D80:$O80)</f>
        <v>234</v>
      </c>
      <c r="S80" s="19">
        <f>AVERAGEIF($D$6:$O$6,S$6,$D80:$O80)</f>
        <v>243.36</v>
      </c>
    </row>
    <row r="81" spans="1:20">
      <c r="A81" s="6" t="s">
        <v>266</v>
      </c>
      <c r="B81" s="6" t="s">
        <v>252</v>
      </c>
      <c r="D81" s="22">
        <f t="shared" ref="D81:O81" si="14">D71*$C$30*$C$32</f>
        <v>0</v>
      </c>
      <c r="E81" s="22">
        <f t="shared" si="14"/>
        <v>0</v>
      </c>
      <c r="F81" s="22">
        <f t="shared" si="14"/>
        <v>1.82070525</v>
      </c>
      <c r="G81" s="22">
        <f t="shared" si="14"/>
        <v>3.6414105</v>
      </c>
      <c r="H81" s="22">
        <f t="shared" si="14"/>
        <v>10.00174084</v>
      </c>
      <c r="I81" s="22">
        <f t="shared" si="14"/>
        <v>15.00261126</v>
      </c>
      <c r="J81" s="22">
        <f t="shared" si="14"/>
        <v>20.00348168</v>
      </c>
      <c r="K81" s="22">
        <f t="shared" si="14"/>
        <v>25.0043521</v>
      </c>
      <c r="L81" s="22">
        <f t="shared" si="14"/>
        <v>38.6317239945</v>
      </c>
      <c r="M81" s="22">
        <f t="shared" si="14"/>
        <v>45.07034466025</v>
      </c>
      <c r="N81" s="22">
        <f t="shared" si="14"/>
        <v>51.508965326</v>
      </c>
      <c r="O81" s="22">
        <f t="shared" si="14"/>
        <v>57.94758599175</v>
      </c>
      <c r="Q81" s="22">
        <f t="shared" ref="Q81:Q86" si="15">SUMIF($D$6:$O$6,Q$6,$D81:$O81)</f>
        <v>5.46211575</v>
      </c>
      <c r="R81" s="22">
        <f t="shared" ref="R81:R86" si="16">SUMIF($D$6:$O$6,R$6,$D81:$O81)</f>
        <v>70.01218588</v>
      </c>
      <c r="S81" s="22">
        <f t="shared" ref="S81:S86" si="17">SUMIF($D$6:$O$6,S$6,$D81:$O81)</f>
        <v>193.1586199725</v>
      </c>
      <c r="T81" s="23">
        <f t="shared" ref="T81:T86" si="18">SUM(Q81:S81)</f>
        <v>268.6329216025</v>
      </c>
    </row>
    <row r="82" spans="1:20">
      <c r="A82" s="6" t="s">
        <v>267</v>
      </c>
      <c r="B82" s="6" t="s">
        <v>252</v>
      </c>
      <c r="D82" s="22">
        <f t="shared" ref="D82:O82" si="19">D71*$C$31</f>
        <v>0</v>
      </c>
      <c r="E82" s="22">
        <f t="shared" si="19"/>
        <v>0</v>
      </c>
      <c r="F82" s="22">
        <f t="shared" si="19"/>
        <v>0.350135625</v>
      </c>
      <c r="G82" s="22">
        <f t="shared" si="19"/>
        <v>0.70027125</v>
      </c>
      <c r="H82" s="22">
        <f t="shared" si="19"/>
        <v>1.9234117</v>
      </c>
      <c r="I82" s="22">
        <f t="shared" si="19"/>
        <v>2.88511755</v>
      </c>
      <c r="J82" s="22">
        <f t="shared" si="19"/>
        <v>3.8468234</v>
      </c>
      <c r="K82" s="22">
        <f t="shared" si="19"/>
        <v>4.80852925</v>
      </c>
      <c r="L82" s="22">
        <f t="shared" si="19"/>
        <v>7.42917769125</v>
      </c>
      <c r="M82" s="22">
        <f t="shared" si="19"/>
        <v>8.667373973125</v>
      </c>
      <c r="N82" s="22">
        <f t="shared" si="19"/>
        <v>9.905570255</v>
      </c>
      <c r="O82" s="22">
        <f t="shared" si="19"/>
        <v>11.143766536875</v>
      </c>
      <c r="Q82" s="22">
        <f t="shared" si="15"/>
        <v>1.050406875</v>
      </c>
      <c r="R82" s="22">
        <f t="shared" si="16"/>
        <v>13.4638819</v>
      </c>
      <c r="S82" s="22">
        <f t="shared" si="17"/>
        <v>37.14588845625</v>
      </c>
      <c r="T82" s="23">
        <f t="shared" si="18"/>
        <v>51.66017723125</v>
      </c>
    </row>
    <row r="83" spans="1:20">
      <c r="A83" s="24" t="s">
        <v>268</v>
      </c>
      <c r="B83" s="24" t="s">
        <v>252</v>
      </c>
      <c r="D83" s="25">
        <f t="shared" ref="D83:O83" si="20">D81-D82</f>
        <v>0</v>
      </c>
      <c r="E83" s="25">
        <f t="shared" si="20"/>
        <v>0</v>
      </c>
      <c r="F83" s="25">
        <f t="shared" si="20"/>
        <v>1.470569625</v>
      </c>
      <c r="G83" s="25">
        <f t="shared" si="20"/>
        <v>2.94113925</v>
      </c>
      <c r="H83" s="25">
        <f t="shared" si="20"/>
        <v>8.07832914</v>
      </c>
      <c r="I83" s="25">
        <f t="shared" si="20"/>
        <v>12.11749371</v>
      </c>
      <c r="J83" s="25">
        <f t="shared" si="20"/>
        <v>16.15665828</v>
      </c>
      <c r="K83" s="25">
        <f t="shared" si="20"/>
        <v>20.19582285</v>
      </c>
      <c r="L83" s="25">
        <f t="shared" si="20"/>
        <v>31.20254630325</v>
      </c>
      <c r="M83" s="25">
        <f t="shared" si="20"/>
        <v>36.402970687125</v>
      </c>
      <c r="N83" s="25">
        <f t="shared" si="20"/>
        <v>41.603395071</v>
      </c>
      <c r="O83" s="25">
        <f t="shared" si="20"/>
        <v>46.803819454875</v>
      </c>
      <c r="Q83" s="26">
        <f t="shared" si="15"/>
        <v>4.411708875</v>
      </c>
      <c r="R83" s="26">
        <f t="shared" si="16"/>
        <v>56.54830398</v>
      </c>
      <c r="S83" s="26">
        <f t="shared" si="17"/>
        <v>156.01273151625</v>
      </c>
      <c r="T83" s="26">
        <f t="shared" si="18"/>
        <v>216.97274437125</v>
      </c>
    </row>
    <row r="84" spans="1:20">
      <c r="A84" s="6" t="s">
        <v>269</v>
      </c>
      <c r="B84" s="6" t="s">
        <v>65</v>
      </c>
      <c r="D84" s="22">
        <f t="shared" ref="D84:O84" si="21">D83*D80/1000</f>
        <v>0</v>
      </c>
      <c r="E84" s="22">
        <f t="shared" si="21"/>
        <v>0</v>
      </c>
      <c r="F84" s="22">
        <f t="shared" si="21"/>
        <v>0.330878165625</v>
      </c>
      <c r="G84" s="22">
        <f t="shared" si="21"/>
        <v>0.66175633125</v>
      </c>
      <c r="H84" s="22">
        <f t="shared" si="21"/>
        <v>1.89032901876</v>
      </c>
      <c r="I84" s="22">
        <f t="shared" si="21"/>
        <v>2.83549352814</v>
      </c>
      <c r="J84" s="22">
        <f t="shared" si="21"/>
        <v>3.78065803752</v>
      </c>
      <c r="K84" s="22">
        <f t="shared" si="21"/>
        <v>4.7258225469</v>
      </c>
      <c r="L84" s="22">
        <f t="shared" si="21"/>
        <v>7.59345166835892</v>
      </c>
      <c r="M84" s="22">
        <f t="shared" si="21"/>
        <v>8.85902694641874</v>
      </c>
      <c r="N84" s="22">
        <f t="shared" si="21"/>
        <v>10.1246022244786</v>
      </c>
      <c r="O84" s="22">
        <f t="shared" si="21"/>
        <v>11.3901775025384</v>
      </c>
      <c r="Q84" s="22">
        <f t="shared" si="15"/>
        <v>0.992634496875</v>
      </c>
      <c r="R84" s="22">
        <f t="shared" si="16"/>
        <v>13.23230313132</v>
      </c>
      <c r="S84" s="22">
        <f t="shared" si="17"/>
        <v>37.9672583417946</v>
      </c>
      <c r="T84" s="23">
        <f t="shared" si="18"/>
        <v>52.1921959699896</v>
      </c>
    </row>
    <row r="85" spans="1:20">
      <c r="A85" s="6" t="s">
        <v>270</v>
      </c>
      <c r="B85" s="6" t="s">
        <v>65</v>
      </c>
      <c r="D85" s="22">
        <f t="shared" ref="D85:O85" si="22">D77*$C$28/1000</f>
        <v>0</v>
      </c>
      <c r="E85" s="22">
        <f t="shared" si="22"/>
        <v>0</v>
      </c>
      <c r="F85" s="22">
        <f t="shared" si="22"/>
        <v>0</v>
      </c>
      <c r="G85" s="22">
        <f t="shared" si="22"/>
        <v>0</v>
      </c>
      <c r="H85" s="22">
        <f t="shared" si="22"/>
        <v>0.001350523125</v>
      </c>
      <c r="I85" s="22">
        <f t="shared" si="22"/>
        <v>0.00270104625</v>
      </c>
      <c r="J85" s="22">
        <f t="shared" si="22"/>
        <v>0.0074188737</v>
      </c>
      <c r="K85" s="22">
        <f t="shared" si="22"/>
        <v>0.01112831055</v>
      </c>
      <c r="L85" s="22">
        <f t="shared" si="22"/>
        <v>0.0148377474</v>
      </c>
      <c r="M85" s="22">
        <f t="shared" si="22"/>
        <v>0.01854718425</v>
      </c>
      <c r="N85" s="22">
        <f t="shared" si="22"/>
        <v>0.02865539966625</v>
      </c>
      <c r="O85" s="22">
        <f t="shared" si="22"/>
        <v>0.033431299610625</v>
      </c>
      <c r="Q85" s="22">
        <f t="shared" si="15"/>
        <v>0</v>
      </c>
      <c r="R85" s="22">
        <f t="shared" si="16"/>
        <v>0.022598753625</v>
      </c>
      <c r="S85" s="22">
        <f t="shared" si="17"/>
        <v>0.095471630926875</v>
      </c>
      <c r="T85" s="23">
        <f t="shared" si="18"/>
        <v>0.118070384551875</v>
      </c>
    </row>
    <row r="86" spans="1:20">
      <c r="A86" s="6" t="s">
        <v>271</v>
      </c>
      <c r="B86" s="6" t="s">
        <v>65</v>
      </c>
      <c r="D86" s="22">
        <f t="shared" ref="D86:O86" si="23">D76*$C$29*D80/1000</f>
        <v>0</v>
      </c>
      <c r="E86" s="22">
        <f t="shared" si="23"/>
        <v>0</v>
      </c>
      <c r="F86" s="22">
        <f t="shared" si="23"/>
        <v>0</v>
      </c>
      <c r="G86" s="22">
        <f t="shared" si="23"/>
        <v>0</v>
      </c>
      <c r="H86" s="22">
        <f t="shared" si="23"/>
        <v>0.003511360125</v>
      </c>
      <c r="I86" s="22">
        <f t="shared" si="23"/>
        <v>0.00702272025</v>
      </c>
      <c r="J86" s="22">
        <f t="shared" si="23"/>
        <v>0.01928907162</v>
      </c>
      <c r="K86" s="22">
        <f t="shared" si="23"/>
        <v>0.02893360743</v>
      </c>
      <c r="L86" s="22">
        <f t="shared" si="23"/>
        <v>0.0401212689696</v>
      </c>
      <c r="M86" s="22">
        <f t="shared" si="23"/>
        <v>0.050151586212</v>
      </c>
      <c r="N86" s="22">
        <f t="shared" si="23"/>
        <v>0.07748420069754</v>
      </c>
      <c r="O86" s="22">
        <f t="shared" si="23"/>
        <v>0.09039823414713</v>
      </c>
      <c r="Q86" s="22">
        <f t="shared" si="15"/>
        <v>0</v>
      </c>
      <c r="R86" s="22">
        <f t="shared" si="16"/>
        <v>0.058756759425</v>
      </c>
      <c r="S86" s="22">
        <f t="shared" si="17"/>
        <v>0.25815529002627</v>
      </c>
      <c r="T86" s="23">
        <f t="shared" si="18"/>
        <v>0.31691204945127</v>
      </c>
    </row>
    <row r="87" spans="1:20">
      <c r="A87" s="6" t="s">
        <v>272</v>
      </c>
      <c r="B87" s="6" t="s">
        <v>273</v>
      </c>
      <c r="D87" s="19">
        <f t="shared" ref="D87:O87" si="24">$C$18*1000*D68*$C$37*D69</f>
        <v>0</v>
      </c>
      <c r="E87" s="19">
        <f t="shared" si="24"/>
        <v>0</v>
      </c>
      <c r="F87" s="19">
        <f t="shared" si="24"/>
        <v>64.26</v>
      </c>
      <c r="G87" s="19">
        <f t="shared" si="24"/>
        <v>128.52</v>
      </c>
      <c r="H87" s="19">
        <f t="shared" si="24"/>
        <v>342.72</v>
      </c>
      <c r="I87" s="19">
        <f t="shared" si="24"/>
        <v>514.08</v>
      </c>
      <c r="J87" s="19">
        <f t="shared" si="24"/>
        <v>685.44</v>
      </c>
      <c r="K87" s="19">
        <f t="shared" si="24"/>
        <v>856.8</v>
      </c>
      <c r="L87" s="19">
        <f t="shared" si="24"/>
        <v>1285.2</v>
      </c>
      <c r="M87" s="19">
        <f t="shared" si="24"/>
        <v>1499.4</v>
      </c>
      <c r="N87" s="19">
        <f t="shared" si="24"/>
        <v>1713.6</v>
      </c>
      <c r="O87" s="19">
        <f t="shared" si="24"/>
        <v>1927.8</v>
      </c>
      <c r="Q87" s="19">
        <f>AVERAGEIF($D$6:$O$6,Q$6,$D87:$O87)</f>
        <v>48.195</v>
      </c>
      <c r="R87" s="19">
        <f>AVERAGEIF($D$6:$O$6,R$6,$D87:$O87)</f>
        <v>599.76</v>
      </c>
      <c r="S87" s="19">
        <f>AVERAGEIF($D$6:$O$6,S$6,$D87:$O87)</f>
        <v>1606.5</v>
      </c>
    </row>
    <row r="88" spans="1:20">
      <c r="A88" s="6" t="s">
        <v>274</v>
      </c>
      <c r="B88" s="6" t="s">
        <v>252</v>
      </c>
      <c r="D88" s="19">
        <f t="shared" ref="D88:O88" si="25">D87*$C$38*3*$C$39</f>
        <v>0</v>
      </c>
      <c r="E88" s="19">
        <f t="shared" si="25"/>
        <v>0</v>
      </c>
      <c r="F88" s="19">
        <f t="shared" si="25"/>
        <v>771.12</v>
      </c>
      <c r="G88" s="19">
        <f t="shared" si="25"/>
        <v>1542.24</v>
      </c>
      <c r="H88" s="19">
        <f t="shared" si="25"/>
        <v>4112.64</v>
      </c>
      <c r="I88" s="19">
        <f t="shared" si="25"/>
        <v>6168.96</v>
      </c>
      <c r="J88" s="19">
        <f t="shared" si="25"/>
        <v>8225.28</v>
      </c>
      <c r="K88" s="19">
        <f t="shared" si="25"/>
        <v>10281.6</v>
      </c>
      <c r="L88" s="19">
        <f t="shared" si="25"/>
        <v>15422.4</v>
      </c>
      <c r="M88" s="19">
        <f t="shared" si="25"/>
        <v>17992.8</v>
      </c>
      <c r="N88" s="19">
        <f t="shared" si="25"/>
        <v>20563.2</v>
      </c>
      <c r="O88" s="19">
        <f t="shared" si="25"/>
        <v>23133.6</v>
      </c>
      <c r="Q88" s="19">
        <f>SUMIF($D$6:$O$6,Q$6,$D88:$O88)</f>
        <v>2313.36</v>
      </c>
      <c r="R88" s="19">
        <f>SUMIF($D$6:$O$6,R$6,$D88:$O88)</f>
        <v>28788.48</v>
      </c>
      <c r="S88" s="19">
        <f>SUMIF($D$6:$O$6,S$6,$D88:$O88)</f>
        <v>77112</v>
      </c>
      <c r="T88" s="10">
        <f>SUM(Q88:S88)</f>
        <v>108213.84</v>
      </c>
    </row>
    <row r="89" spans="1:20">
      <c r="A89" s="6" t="s">
        <v>275</v>
      </c>
      <c r="B89" s="6" t="s">
        <v>65</v>
      </c>
      <c r="D89" s="22">
        <f t="shared" ref="D89:O89" si="26">D88*$C$40/1000</f>
        <v>0</v>
      </c>
      <c r="E89" s="22">
        <f t="shared" si="26"/>
        <v>0</v>
      </c>
      <c r="F89" s="22">
        <f t="shared" si="26"/>
        <v>0.038556</v>
      </c>
      <c r="G89" s="22">
        <f t="shared" si="26"/>
        <v>0.077112</v>
      </c>
      <c r="H89" s="22">
        <f t="shared" si="26"/>
        <v>0.205632</v>
      </c>
      <c r="I89" s="22">
        <f t="shared" si="26"/>
        <v>0.308448</v>
      </c>
      <c r="J89" s="22">
        <f t="shared" si="26"/>
        <v>0.411264</v>
      </c>
      <c r="K89" s="22">
        <f t="shared" si="26"/>
        <v>0.51408</v>
      </c>
      <c r="L89" s="22">
        <f t="shared" si="26"/>
        <v>0.77112</v>
      </c>
      <c r="M89" s="22">
        <f t="shared" si="26"/>
        <v>0.89964</v>
      </c>
      <c r="N89" s="22">
        <f t="shared" si="26"/>
        <v>1.02816</v>
      </c>
      <c r="O89" s="22">
        <f t="shared" si="26"/>
        <v>1.15668</v>
      </c>
      <c r="Q89" s="22">
        <f>SUMIF($D$6:$O$6,Q$6,$D89:$O89)</f>
        <v>0.115668</v>
      </c>
      <c r="R89" s="22">
        <f>SUMIF($D$6:$O$6,R$6,$D89:$O89)</f>
        <v>1.439424</v>
      </c>
      <c r="S89" s="22">
        <f>SUMIF($D$6:$O$6,S$6,$D89:$O89)</f>
        <v>3.8556</v>
      </c>
      <c r="T89" s="23">
        <f>SUM(Q89:S89)</f>
        <v>5.410692</v>
      </c>
    </row>
    <row r="90" spans="1:20">
      <c r="A90" s="6" t="s">
        <v>276</v>
      </c>
      <c r="B90" s="6" t="s">
        <v>65</v>
      </c>
      <c r="D90" s="22">
        <f t="shared" ref="D90:O90" si="27">D87*$C$41/4*$C$42/1000</f>
        <v>0</v>
      </c>
      <c r="E90" s="22">
        <f t="shared" si="27"/>
        <v>0</v>
      </c>
      <c r="F90" s="22">
        <f t="shared" si="27"/>
        <v>0</v>
      </c>
      <c r="G90" s="22">
        <f t="shared" si="27"/>
        <v>0</v>
      </c>
      <c r="H90" s="22">
        <f t="shared" si="27"/>
        <v>0</v>
      </c>
      <c r="I90" s="22">
        <f t="shared" si="27"/>
        <v>0</v>
      </c>
      <c r="J90" s="22">
        <f t="shared" si="27"/>
        <v>0</v>
      </c>
      <c r="K90" s="22">
        <f t="shared" si="27"/>
        <v>0</v>
      </c>
      <c r="L90" s="22">
        <f t="shared" si="27"/>
        <v>0</v>
      </c>
      <c r="M90" s="22">
        <f t="shared" si="27"/>
        <v>0</v>
      </c>
      <c r="N90" s="22">
        <f t="shared" si="27"/>
        <v>0</v>
      </c>
      <c r="O90" s="22">
        <f t="shared" si="27"/>
        <v>0</v>
      </c>
      <c r="Q90" s="22">
        <f>SUMIF($D$6:$O$6,Q$6,$D90:$O90)</f>
        <v>0</v>
      </c>
      <c r="R90" s="22">
        <f>SUMIF($D$6:$O$6,R$6,$D90:$O90)</f>
        <v>0</v>
      </c>
      <c r="S90" s="22">
        <f>SUMIF($D$6:$O$6,S$6,$D90:$O90)</f>
        <v>0</v>
      </c>
      <c r="T90" s="23">
        <f>SUM(Q90:S90)</f>
        <v>0</v>
      </c>
    </row>
    <row r="91" spans="1:20">
      <c r="A91" s="24" t="s">
        <v>39</v>
      </c>
      <c r="B91" s="24" t="s">
        <v>65</v>
      </c>
      <c r="D91" s="25">
        <f t="shared" ref="D91:O91" si="28">D84+D85+D86+D89+D90</f>
        <v>0</v>
      </c>
      <c r="E91" s="25">
        <f t="shared" si="28"/>
        <v>0</v>
      </c>
      <c r="F91" s="25">
        <f t="shared" si="28"/>
        <v>0.369434165625</v>
      </c>
      <c r="G91" s="25">
        <f t="shared" si="28"/>
        <v>0.73886833125</v>
      </c>
      <c r="H91" s="25">
        <f t="shared" si="28"/>
        <v>2.10082290201</v>
      </c>
      <c r="I91" s="25">
        <f t="shared" si="28"/>
        <v>3.15366529464</v>
      </c>
      <c r="J91" s="25">
        <f t="shared" si="28"/>
        <v>4.21862998284</v>
      </c>
      <c r="K91" s="25">
        <f t="shared" si="28"/>
        <v>5.27996446488</v>
      </c>
      <c r="L91" s="25">
        <f t="shared" si="28"/>
        <v>8.41953068472852</v>
      </c>
      <c r="M91" s="25">
        <f t="shared" si="28"/>
        <v>9.82736571688074</v>
      </c>
      <c r="N91" s="25">
        <f t="shared" si="28"/>
        <v>11.2589018248424</v>
      </c>
      <c r="O91" s="25">
        <f t="shared" si="28"/>
        <v>12.6706870362961</v>
      </c>
      <c r="Q91" s="26">
        <f>SUMIF($D$6:$O$6,Q$6,$D91:$O91)</f>
        <v>1.108302496875</v>
      </c>
      <c r="R91" s="26">
        <f>SUMIF($D$6:$O$6,R$6,$D91:$O91)</f>
        <v>14.75308264437</v>
      </c>
      <c r="S91" s="26">
        <f>SUMIF($D$6:$O$6,S$6,$D91:$O91)</f>
        <v>42.1764852627477</v>
      </c>
      <c r="T91" s="26">
        <f>SUM(Q91:S91)</f>
        <v>58.0378704039927</v>
      </c>
    </row>
    <row r="92" spans="1:20">
      <c r="A92" s="24" t="s">
        <v>277</v>
      </c>
      <c r="B92" s="24" t="s">
        <v>65</v>
      </c>
      <c r="D92" s="25">
        <f t="shared" ref="D92:O92" si="29">D91*$C$13</f>
        <v>0</v>
      </c>
      <c r="E92" s="25">
        <f t="shared" si="29"/>
        <v>0</v>
      </c>
      <c r="F92" s="25">
        <f t="shared" si="29"/>
        <v>0.31401904078125</v>
      </c>
      <c r="G92" s="25">
        <f t="shared" si="29"/>
        <v>0.6280380815625</v>
      </c>
      <c r="H92" s="25">
        <f t="shared" si="29"/>
        <v>1.7856994667085</v>
      </c>
      <c r="I92" s="25">
        <f t="shared" si="29"/>
        <v>2.680615500444</v>
      </c>
      <c r="J92" s="25">
        <f t="shared" si="29"/>
        <v>3.585835485414</v>
      </c>
      <c r="K92" s="25">
        <f t="shared" si="29"/>
        <v>4.487969795148</v>
      </c>
      <c r="L92" s="25">
        <f t="shared" si="29"/>
        <v>7.15660108201924</v>
      </c>
      <c r="M92" s="25">
        <f t="shared" si="29"/>
        <v>8.35326085934863</v>
      </c>
      <c r="N92" s="25">
        <f t="shared" si="29"/>
        <v>9.570066551116</v>
      </c>
      <c r="O92" s="25">
        <f t="shared" si="29"/>
        <v>10.7700839808517</v>
      </c>
      <c r="Q92" s="26">
        <f>SUMIF($D$6:$O$6,Q$6,$D92:$O92)</f>
        <v>0.94205712234375</v>
      </c>
      <c r="R92" s="26">
        <f>SUMIF($D$6:$O$6,R$6,$D92:$O92)</f>
        <v>12.5401202477145</v>
      </c>
      <c r="S92" s="26">
        <f>SUMIF($D$6:$O$6,S$6,$D92:$O92)</f>
        <v>35.8500124733356</v>
      </c>
      <c r="T92" s="26">
        <f>SUM(Q92:S92)</f>
        <v>49.3321898433938</v>
      </c>
    </row>
    <row r="94" spans="1:20">
      <c r="A94" s="12" t="s">
        <v>278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>
      <c r="A95" s="6" t="s">
        <v>279</v>
      </c>
      <c r="B95" s="6" t="s">
        <v>153</v>
      </c>
      <c r="D95" s="27">
        <f t="shared" ref="D95:O95" si="30">INDEX($C$43:$C$45,D$6)</f>
        <v>15</v>
      </c>
      <c r="E95" s="27">
        <f t="shared" si="30"/>
        <v>15</v>
      </c>
      <c r="F95" s="27">
        <f t="shared" si="30"/>
        <v>15</v>
      </c>
      <c r="G95" s="27">
        <f t="shared" si="30"/>
        <v>15</v>
      </c>
      <c r="H95" s="27">
        <f t="shared" si="30"/>
        <v>19</v>
      </c>
      <c r="I95" s="27">
        <f t="shared" si="30"/>
        <v>19</v>
      </c>
      <c r="J95" s="27">
        <f t="shared" si="30"/>
        <v>19</v>
      </c>
      <c r="K95" s="27">
        <f t="shared" si="30"/>
        <v>19</v>
      </c>
      <c r="L95" s="27">
        <f t="shared" si="30"/>
        <v>20</v>
      </c>
      <c r="M95" s="27">
        <f t="shared" si="30"/>
        <v>20</v>
      </c>
      <c r="N95" s="27">
        <f t="shared" si="30"/>
        <v>20</v>
      </c>
      <c r="O95" s="27">
        <f t="shared" si="30"/>
        <v>20</v>
      </c>
      <c r="Q95" s="27">
        <f>AVERAGEIF($D$6:$O$6,Q$6,$D95:$O95)</f>
        <v>15</v>
      </c>
      <c r="R95" s="27">
        <f>AVERAGEIF($D$6:$O$6,R$6,$D95:$O95)</f>
        <v>19</v>
      </c>
      <c r="S95" s="27">
        <f>AVERAGEIF($D$6:$O$6,S$6,$D95:$O95)</f>
        <v>20</v>
      </c>
    </row>
    <row r="96" spans="1:20">
      <c r="A96" s="6" t="s">
        <v>280</v>
      </c>
      <c r="B96" s="6" t="s">
        <v>65</v>
      </c>
      <c r="D96" s="22">
        <f t="shared" ref="D96:O96" si="31">D95*$C$46*3*(1+$C$47)^(D$6-1)/1000</f>
        <v>20.25</v>
      </c>
      <c r="E96" s="22">
        <f t="shared" si="31"/>
        <v>20.25</v>
      </c>
      <c r="F96" s="22">
        <f t="shared" si="31"/>
        <v>20.25</v>
      </c>
      <c r="G96" s="22">
        <f t="shared" si="31"/>
        <v>20.25</v>
      </c>
      <c r="H96" s="22">
        <f t="shared" si="31"/>
        <v>27.702</v>
      </c>
      <c r="I96" s="22">
        <f t="shared" si="31"/>
        <v>27.702</v>
      </c>
      <c r="J96" s="22">
        <f t="shared" si="31"/>
        <v>27.702</v>
      </c>
      <c r="K96" s="22">
        <f t="shared" si="31"/>
        <v>27.702</v>
      </c>
      <c r="L96" s="22">
        <f t="shared" si="31"/>
        <v>31.4928</v>
      </c>
      <c r="M96" s="22">
        <f t="shared" si="31"/>
        <v>31.4928</v>
      </c>
      <c r="N96" s="22">
        <f t="shared" si="31"/>
        <v>31.4928</v>
      </c>
      <c r="O96" s="22">
        <f t="shared" si="31"/>
        <v>31.4928</v>
      </c>
      <c r="Q96" s="22">
        <f t="shared" ref="Q96:Q105" si="32">SUMIF($D$6:$O$6,Q$6,$D96:$O96)</f>
        <v>81</v>
      </c>
      <c r="R96" s="22">
        <f t="shared" ref="R96:R105" si="33">SUMIF($D$6:$O$6,R$6,$D96:$O96)</f>
        <v>110.808</v>
      </c>
      <c r="S96" s="22">
        <f t="shared" ref="S96:S105" si="34">SUMIF($D$6:$O$6,S$6,$D96:$O96)</f>
        <v>125.9712</v>
      </c>
      <c r="T96" s="23">
        <f t="shared" ref="T96:T105" si="35">SUM(Q96:S96)</f>
        <v>317.7792</v>
      </c>
    </row>
    <row r="97" spans="1:20">
      <c r="A97" s="6" t="s">
        <v>281</v>
      </c>
      <c r="B97" s="6" t="s">
        <v>252</v>
      </c>
      <c r="D97" s="19">
        <f t="shared" ref="D97:O97" si="36">D74*(1+$C$48)</f>
        <v>0</v>
      </c>
      <c r="E97" s="19">
        <f t="shared" si="36"/>
        <v>0</v>
      </c>
      <c r="F97" s="19">
        <f t="shared" si="36"/>
        <v>30.011625</v>
      </c>
      <c r="G97" s="19">
        <f t="shared" si="36"/>
        <v>60.02325</v>
      </c>
      <c r="H97" s="19">
        <f t="shared" si="36"/>
        <v>164.86386</v>
      </c>
      <c r="I97" s="19">
        <f t="shared" si="36"/>
        <v>247.29579</v>
      </c>
      <c r="J97" s="19">
        <f t="shared" si="36"/>
        <v>329.72772</v>
      </c>
      <c r="K97" s="19">
        <f t="shared" si="36"/>
        <v>412.15965</v>
      </c>
      <c r="L97" s="19">
        <f t="shared" si="36"/>
        <v>636.78665925</v>
      </c>
      <c r="M97" s="19">
        <f t="shared" si="36"/>
        <v>742.917769125</v>
      </c>
      <c r="N97" s="19">
        <f t="shared" si="36"/>
        <v>849.048879</v>
      </c>
      <c r="O97" s="19">
        <f t="shared" si="36"/>
        <v>955.179988875</v>
      </c>
      <c r="Q97" s="19">
        <f t="shared" si="32"/>
        <v>90.034875</v>
      </c>
      <c r="R97" s="19">
        <f t="shared" si="33"/>
        <v>1154.04702</v>
      </c>
      <c r="S97" s="19">
        <f t="shared" si="34"/>
        <v>3183.93329625</v>
      </c>
      <c r="T97" s="10">
        <f t="shared" si="35"/>
        <v>4428.01519125</v>
      </c>
    </row>
    <row r="98" spans="1:20">
      <c r="A98" s="6" t="s">
        <v>282</v>
      </c>
      <c r="B98" s="6" t="s">
        <v>65</v>
      </c>
      <c r="D98" s="22">
        <f t="shared" ref="D98:O98" si="37">D97*$C$49/1000</f>
        <v>0</v>
      </c>
      <c r="E98" s="22">
        <f t="shared" si="37"/>
        <v>0</v>
      </c>
      <c r="F98" s="22">
        <f t="shared" si="37"/>
        <v>0.030011625</v>
      </c>
      <c r="G98" s="22">
        <f t="shared" si="37"/>
        <v>0.06002325</v>
      </c>
      <c r="H98" s="22">
        <f t="shared" si="37"/>
        <v>0.16486386</v>
      </c>
      <c r="I98" s="22">
        <f t="shared" si="37"/>
        <v>0.24729579</v>
      </c>
      <c r="J98" s="22">
        <f t="shared" si="37"/>
        <v>0.32972772</v>
      </c>
      <c r="K98" s="22">
        <f t="shared" si="37"/>
        <v>0.41215965</v>
      </c>
      <c r="L98" s="22">
        <f t="shared" si="37"/>
        <v>0.63678665925</v>
      </c>
      <c r="M98" s="22">
        <f t="shared" si="37"/>
        <v>0.742917769125</v>
      </c>
      <c r="N98" s="22">
        <f t="shared" si="37"/>
        <v>0.849048879</v>
      </c>
      <c r="O98" s="22">
        <f t="shared" si="37"/>
        <v>0.955179988875</v>
      </c>
      <c r="Q98" s="22">
        <f t="shared" si="32"/>
        <v>0.090034875</v>
      </c>
      <c r="R98" s="22">
        <f t="shared" si="33"/>
        <v>1.15404702</v>
      </c>
      <c r="S98" s="22">
        <f t="shared" si="34"/>
        <v>3.18393329625</v>
      </c>
      <c r="T98" s="23">
        <f t="shared" si="35"/>
        <v>4.42801519125</v>
      </c>
    </row>
    <row r="99" spans="1:20">
      <c r="A99" s="6" t="s">
        <v>283</v>
      </c>
      <c r="B99" s="6" t="s">
        <v>65</v>
      </c>
      <c r="D99" s="22">
        <f t="shared" ref="D99:O99" si="38">D97*$C$50*$C$51/1000</f>
        <v>0</v>
      </c>
      <c r="E99" s="22">
        <f t="shared" si="38"/>
        <v>0</v>
      </c>
      <c r="F99" s="22">
        <f t="shared" si="38"/>
        <v>0.03601395</v>
      </c>
      <c r="G99" s="22">
        <f t="shared" si="38"/>
        <v>0.0720279</v>
      </c>
      <c r="H99" s="22">
        <f t="shared" si="38"/>
        <v>0.197836632</v>
      </c>
      <c r="I99" s="22">
        <f t="shared" si="38"/>
        <v>0.296754948</v>
      </c>
      <c r="J99" s="22">
        <f t="shared" si="38"/>
        <v>0.395673264</v>
      </c>
      <c r="K99" s="22">
        <f t="shared" si="38"/>
        <v>0.49459158</v>
      </c>
      <c r="L99" s="22">
        <f t="shared" si="38"/>
        <v>0.7641439911</v>
      </c>
      <c r="M99" s="22">
        <f t="shared" si="38"/>
        <v>0.89150132295</v>
      </c>
      <c r="N99" s="22">
        <f t="shared" si="38"/>
        <v>1.0188586548</v>
      </c>
      <c r="O99" s="22">
        <f t="shared" si="38"/>
        <v>1.14621598665</v>
      </c>
      <c r="Q99" s="22">
        <f t="shared" si="32"/>
        <v>0.10804185</v>
      </c>
      <c r="R99" s="22">
        <f t="shared" si="33"/>
        <v>1.384856424</v>
      </c>
      <c r="S99" s="22">
        <f t="shared" si="34"/>
        <v>3.8207199555</v>
      </c>
      <c r="T99" s="23">
        <f t="shared" si="35"/>
        <v>5.3136182295</v>
      </c>
    </row>
    <row r="100" spans="1:20">
      <c r="A100" s="6" t="s">
        <v>284</v>
      </c>
      <c r="B100" s="6" t="s">
        <v>65</v>
      </c>
      <c r="D100" s="22">
        <f t="shared" ref="D100:O100" si="39">D74*$C$52/1000+IF(D$5&gt;=$C$54,$C$53,0)</f>
        <v>0</v>
      </c>
      <c r="E100" s="22">
        <f t="shared" si="39"/>
        <v>2.5</v>
      </c>
      <c r="F100" s="22">
        <f t="shared" si="39"/>
        <v>2.52000775</v>
      </c>
      <c r="G100" s="22">
        <f t="shared" si="39"/>
        <v>2.5400155</v>
      </c>
      <c r="H100" s="22">
        <f t="shared" si="39"/>
        <v>2.60990924</v>
      </c>
      <c r="I100" s="22">
        <f t="shared" si="39"/>
        <v>2.66486386</v>
      </c>
      <c r="J100" s="22">
        <f t="shared" si="39"/>
        <v>2.71981848</v>
      </c>
      <c r="K100" s="22">
        <f t="shared" si="39"/>
        <v>2.7747731</v>
      </c>
      <c r="L100" s="22">
        <f t="shared" si="39"/>
        <v>2.9245244395</v>
      </c>
      <c r="M100" s="22">
        <f t="shared" si="39"/>
        <v>2.99527851275</v>
      </c>
      <c r="N100" s="22">
        <f t="shared" si="39"/>
        <v>3.066032586</v>
      </c>
      <c r="O100" s="22">
        <f t="shared" si="39"/>
        <v>3.13678665925</v>
      </c>
      <c r="Q100" s="22">
        <f t="shared" si="32"/>
        <v>7.56002325</v>
      </c>
      <c r="R100" s="22">
        <f t="shared" si="33"/>
        <v>10.76936468</v>
      </c>
      <c r="S100" s="22">
        <f t="shared" si="34"/>
        <v>12.1226221975</v>
      </c>
      <c r="T100" s="23">
        <f t="shared" si="35"/>
        <v>30.4520101275</v>
      </c>
    </row>
    <row r="101" spans="1:20">
      <c r="A101" s="6" t="s">
        <v>285</v>
      </c>
      <c r="B101" s="6" t="s">
        <v>65</v>
      </c>
      <c r="D101" s="22">
        <f t="shared" ref="D101:O101" si="40">MIN(D74*$C$55*$C$56/1000,$C$57/4)</f>
        <v>0</v>
      </c>
      <c r="E101" s="22">
        <f t="shared" si="40"/>
        <v>0</v>
      </c>
      <c r="F101" s="22">
        <f t="shared" si="40"/>
        <v>0.2000775</v>
      </c>
      <c r="G101" s="22">
        <f t="shared" si="40"/>
        <v>0.400155</v>
      </c>
      <c r="H101" s="22">
        <f t="shared" si="40"/>
        <v>1.0990924</v>
      </c>
      <c r="I101" s="22">
        <f t="shared" si="40"/>
        <v>1.6486386</v>
      </c>
      <c r="J101" s="22">
        <f t="shared" si="40"/>
        <v>2.1981848</v>
      </c>
      <c r="K101" s="22">
        <f t="shared" si="40"/>
        <v>2.747731</v>
      </c>
      <c r="L101" s="22">
        <f t="shared" si="40"/>
        <v>4.245244395</v>
      </c>
      <c r="M101" s="22">
        <f t="shared" si="40"/>
        <v>4.9527851275</v>
      </c>
      <c r="N101" s="22">
        <f t="shared" si="40"/>
        <v>5.66032586</v>
      </c>
      <c r="O101" s="22">
        <f t="shared" si="40"/>
        <v>6.3678665925</v>
      </c>
      <c r="Q101" s="22">
        <f t="shared" si="32"/>
        <v>0.6002325</v>
      </c>
      <c r="R101" s="22">
        <f t="shared" si="33"/>
        <v>7.6936468</v>
      </c>
      <c r="S101" s="22">
        <f t="shared" si="34"/>
        <v>21.226221975</v>
      </c>
      <c r="T101" s="23">
        <f t="shared" si="35"/>
        <v>29.520101275</v>
      </c>
    </row>
    <row r="102" spans="1:20">
      <c r="A102" s="6" t="s">
        <v>286</v>
      </c>
      <c r="B102" s="6" t="s">
        <v>65</v>
      </c>
      <c r="D102" s="22">
        <f t="shared" ref="D102:O102" si="41">IF(AND(D$5&gt;=$C$60,D$5&lt;=$C$61),$C$59/($C$61-$C$60+1),0)+IF(D$5&gt;$C$61,$C$62,0)</f>
        <v>0</v>
      </c>
      <c r="E102" s="22">
        <f t="shared" si="41"/>
        <v>0</v>
      </c>
      <c r="F102" s="22">
        <f t="shared" si="41"/>
        <v>30</v>
      </c>
      <c r="G102" s="22">
        <f t="shared" si="41"/>
        <v>30</v>
      </c>
      <c r="H102" s="22">
        <f t="shared" si="41"/>
        <v>4</v>
      </c>
      <c r="I102" s="22">
        <f t="shared" si="41"/>
        <v>4</v>
      </c>
      <c r="J102" s="22">
        <f t="shared" si="41"/>
        <v>4</v>
      </c>
      <c r="K102" s="22">
        <f t="shared" si="41"/>
        <v>4</v>
      </c>
      <c r="L102" s="22">
        <f t="shared" si="41"/>
        <v>4</v>
      </c>
      <c r="M102" s="22">
        <f t="shared" si="41"/>
        <v>4</v>
      </c>
      <c r="N102" s="22">
        <f t="shared" si="41"/>
        <v>4</v>
      </c>
      <c r="O102" s="22">
        <f t="shared" si="41"/>
        <v>4</v>
      </c>
      <c r="Q102" s="22">
        <f t="shared" si="32"/>
        <v>60</v>
      </c>
      <c r="R102" s="22">
        <f t="shared" si="33"/>
        <v>16</v>
      </c>
      <c r="S102" s="22">
        <f t="shared" si="34"/>
        <v>16</v>
      </c>
      <c r="T102" s="23">
        <f t="shared" si="35"/>
        <v>92</v>
      </c>
    </row>
    <row r="103" spans="1:20">
      <c r="A103" s="6" t="s">
        <v>287</v>
      </c>
      <c r="B103" s="6" t="s">
        <v>65</v>
      </c>
      <c r="D103" s="22">
        <f t="shared" ref="D103:O103" si="42">D96+D98+D99+D100+D101+D102</f>
        <v>20.25</v>
      </c>
      <c r="E103" s="22">
        <f t="shared" si="42"/>
        <v>22.75</v>
      </c>
      <c r="F103" s="22">
        <f t="shared" si="42"/>
        <v>53.036110825</v>
      </c>
      <c r="G103" s="22">
        <f t="shared" si="42"/>
        <v>53.32222165</v>
      </c>
      <c r="H103" s="22">
        <f t="shared" si="42"/>
        <v>35.773702132</v>
      </c>
      <c r="I103" s="22">
        <f t="shared" si="42"/>
        <v>36.559553198</v>
      </c>
      <c r="J103" s="22">
        <f t="shared" si="42"/>
        <v>37.345404264</v>
      </c>
      <c r="K103" s="22">
        <f t="shared" si="42"/>
        <v>38.13125533</v>
      </c>
      <c r="L103" s="22">
        <f t="shared" si="42"/>
        <v>44.06349948485</v>
      </c>
      <c r="M103" s="22">
        <f t="shared" si="42"/>
        <v>45.075282732325</v>
      </c>
      <c r="N103" s="22">
        <f t="shared" si="42"/>
        <v>46.0870659798</v>
      </c>
      <c r="O103" s="22">
        <f t="shared" si="42"/>
        <v>47.098849227275</v>
      </c>
      <c r="Q103" s="22">
        <f t="shared" si="32"/>
        <v>149.358332475</v>
      </c>
      <c r="R103" s="22">
        <f t="shared" si="33"/>
        <v>147.809914924</v>
      </c>
      <c r="S103" s="22">
        <f t="shared" si="34"/>
        <v>182.32469742425</v>
      </c>
      <c r="T103" s="23">
        <f t="shared" si="35"/>
        <v>479.49294482325</v>
      </c>
    </row>
    <row r="104" spans="1:20">
      <c r="A104" s="6" t="s">
        <v>288</v>
      </c>
      <c r="B104" s="6" t="s">
        <v>65</v>
      </c>
      <c r="D104" s="22">
        <f t="shared" ref="D104:O104" si="43">D103*$C$58</f>
        <v>2.025</v>
      </c>
      <c r="E104" s="22">
        <f t="shared" si="43"/>
        <v>2.275</v>
      </c>
      <c r="F104" s="22">
        <f t="shared" si="43"/>
        <v>5.3036110825</v>
      </c>
      <c r="G104" s="22">
        <f t="shared" si="43"/>
        <v>5.332222165</v>
      </c>
      <c r="H104" s="22">
        <f t="shared" si="43"/>
        <v>3.5773702132</v>
      </c>
      <c r="I104" s="22">
        <f t="shared" si="43"/>
        <v>3.6559553198</v>
      </c>
      <c r="J104" s="22">
        <f t="shared" si="43"/>
        <v>3.7345404264</v>
      </c>
      <c r="K104" s="22">
        <f t="shared" si="43"/>
        <v>3.813125533</v>
      </c>
      <c r="L104" s="22">
        <f t="shared" si="43"/>
        <v>4.406349948485</v>
      </c>
      <c r="M104" s="22">
        <f t="shared" si="43"/>
        <v>4.5075282732325</v>
      </c>
      <c r="N104" s="22">
        <f t="shared" si="43"/>
        <v>4.60870659798</v>
      </c>
      <c r="O104" s="22">
        <f t="shared" si="43"/>
        <v>4.7098849227275</v>
      </c>
      <c r="Q104" s="22">
        <f t="shared" si="32"/>
        <v>14.9358332475</v>
      </c>
      <c r="R104" s="22">
        <f t="shared" si="33"/>
        <v>14.7809914924</v>
      </c>
      <c r="S104" s="22">
        <f t="shared" si="34"/>
        <v>18.232469742425</v>
      </c>
      <c r="T104" s="23">
        <f t="shared" si="35"/>
        <v>47.949294482325</v>
      </c>
    </row>
    <row r="105" spans="1:20">
      <c r="A105" s="24" t="s">
        <v>47</v>
      </c>
      <c r="B105" s="24" t="s">
        <v>65</v>
      </c>
      <c r="D105" s="25">
        <f t="shared" ref="D105:O105" si="44">D103+D104</f>
        <v>22.275</v>
      </c>
      <c r="E105" s="25">
        <f t="shared" si="44"/>
        <v>25.025</v>
      </c>
      <c r="F105" s="25">
        <f t="shared" si="44"/>
        <v>58.3397219075</v>
      </c>
      <c r="G105" s="25">
        <f t="shared" si="44"/>
        <v>58.654443815</v>
      </c>
      <c r="H105" s="25">
        <f t="shared" si="44"/>
        <v>39.3510723452</v>
      </c>
      <c r="I105" s="25">
        <f t="shared" si="44"/>
        <v>40.2155085178</v>
      </c>
      <c r="J105" s="25">
        <f t="shared" si="44"/>
        <v>41.0799446904</v>
      </c>
      <c r="K105" s="25">
        <f t="shared" si="44"/>
        <v>41.944380863</v>
      </c>
      <c r="L105" s="25">
        <f t="shared" si="44"/>
        <v>48.469849433335</v>
      </c>
      <c r="M105" s="25">
        <f t="shared" si="44"/>
        <v>49.5828110055575</v>
      </c>
      <c r="N105" s="25">
        <f t="shared" si="44"/>
        <v>50.69577257778</v>
      </c>
      <c r="O105" s="25">
        <f t="shared" si="44"/>
        <v>51.8087341500025</v>
      </c>
      <c r="Q105" s="26">
        <f t="shared" si="32"/>
        <v>164.2941657225</v>
      </c>
      <c r="R105" s="26">
        <f t="shared" si="33"/>
        <v>162.5909064164</v>
      </c>
      <c r="S105" s="26">
        <f t="shared" si="34"/>
        <v>200.557167166675</v>
      </c>
      <c r="T105" s="26">
        <f t="shared" si="35"/>
        <v>527.442239305575</v>
      </c>
    </row>
    <row r="107" spans="1:20">
      <c r="A107" s="12" t="s">
        <v>289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>
      <c r="A108" s="24" t="s">
        <v>48</v>
      </c>
      <c r="B108" s="24" t="s">
        <v>65</v>
      </c>
      <c r="D108" s="25">
        <f t="shared" ref="D108:O108" si="45">D92-D105</f>
        <v>-22.275</v>
      </c>
      <c r="E108" s="25">
        <f t="shared" si="45"/>
        <v>-25.025</v>
      </c>
      <c r="F108" s="25">
        <f t="shared" si="45"/>
        <v>-58.0257028667188</v>
      </c>
      <c r="G108" s="25">
        <f t="shared" si="45"/>
        <v>-58.0264057334375</v>
      </c>
      <c r="H108" s="25">
        <f t="shared" si="45"/>
        <v>-37.5653728784915</v>
      </c>
      <c r="I108" s="25">
        <f t="shared" si="45"/>
        <v>-37.534893017356</v>
      </c>
      <c r="J108" s="25">
        <f t="shared" si="45"/>
        <v>-37.494109204986</v>
      </c>
      <c r="K108" s="25">
        <f t="shared" si="45"/>
        <v>-37.456411067852</v>
      </c>
      <c r="L108" s="25">
        <f t="shared" si="45"/>
        <v>-41.3132483513158</v>
      </c>
      <c r="M108" s="25">
        <f t="shared" si="45"/>
        <v>-41.2295501462089</v>
      </c>
      <c r="N108" s="25">
        <f t="shared" si="45"/>
        <v>-41.125706026664</v>
      </c>
      <c r="O108" s="25">
        <f t="shared" si="45"/>
        <v>-41.0386501691508</v>
      </c>
      <c r="Q108" s="26">
        <f>SUMIF($D$6:$O$6,Q$6,$D108:$O108)</f>
        <v>-163.352108600156</v>
      </c>
      <c r="R108" s="26">
        <f>SUMIF($D$6:$O$6,R$6,$D108:$O108)</f>
        <v>-150.050786168686</v>
      </c>
      <c r="S108" s="26">
        <f>SUMIF($D$6:$O$6,S$6,$D108:$O108)</f>
        <v>-164.707154693339</v>
      </c>
      <c r="T108" s="26">
        <f>SUM(Q108:S108)</f>
        <v>-478.110049462181</v>
      </c>
    </row>
    <row r="109" spans="1:20">
      <c r="A109" s="24" t="s">
        <v>290</v>
      </c>
      <c r="B109" s="24" t="s">
        <v>65</v>
      </c>
      <c r="D109" s="25">
        <f>SUM($D108:D108)</f>
        <v>-22.275</v>
      </c>
      <c r="E109" s="25">
        <f>SUM($D108:E108)</f>
        <v>-47.3</v>
      </c>
      <c r="F109" s="25">
        <f>SUM($D108:F108)</f>
        <v>-105.325702866719</v>
      </c>
      <c r="G109" s="25">
        <f>SUM($D108:G108)</f>
        <v>-163.352108600156</v>
      </c>
      <c r="H109" s="25">
        <f>SUM($D108:H108)</f>
        <v>-200.917481478648</v>
      </c>
      <c r="I109" s="25">
        <f>SUM($D108:I108)</f>
        <v>-238.452374496004</v>
      </c>
      <c r="J109" s="25">
        <f>SUM($D108:J108)</f>
        <v>-275.94648370099</v>
      </c>
      <c r="K109" s="25">
        <f>SUM($D108:K108)</f>
        <v>-313.402894768842</v>
      </c>
      <c r="L109" s="25">
        <f>SUM($D108:L108)</f>
        <v>-354.716143120158</v>
      </c>
      <c r="M109" s="25">
        <f>SUM($D108:M108)</f>
        <v>-395.945693266366</v>
      </c>
      <c r="N109" s="25">
        <f>SUM($D108:N108)</f>
        <v>-437.07139929303</v>
      </c>
      <c r="O109" s="25">
        <f>SUM($D108:O108)</f>
        <v>-478.110049462181</v>
      </c>
    </row>
    <row r="110" spans="1:20">
      <c r="A110" s="6" t="s">
        <v>291</v>
      </c>
      <c r="B110" s="6" t="s">
        <v>165</v>
      </c>
      <c r="D110" s="28">
        <f t="shared" ref="D110:O110" si="46">1/(1+$C$12)^(D$5/4)</f>
        <v>0.965662885400652</v>
      </c>
      <c r="E110" s="28">
        <f t="shared" si="46"/>
        <v>0.932504808240314</v>
      </c>
      <c r="F110" s="28">
        <f t="shared" si="46"/>
        <v>0.900485283775324</v>
      </c>
      <c r="G110" s="28">
        <f t="shared" si="46"/>
        <v>0.869565217391304</v>
      </c>
      <c r="H110" s="28">
        <f t="shared" si="46"/>
        <v>0.839706856870133</v>
      </c>
      <c r="I110" s="28">
        <f t="shared" si="46"/>
        <v>0.810873746295925</v>
      </c>
      <c r="J110" s="28">
        <f t="shared" si="46"/>
        <v>0.78303068154376</v>
      </c>
      <c r="K110" s="28">
        <f t="shared" si="46"/>
        <v>0.756143667296787</v>
      </c>
      <c r="L110" s="28">
        <f t="shared" si="46"/>
        <v>0.730179875539246</v>
      </c>
      <c r="M110" s="28">
        <f t="shared" si="46"/>
        <v>0.705107605474718</v>
      </c>
      <c r="N110" s="28">
        <f t="shared" si="46"/>
        <v>0.680896244820661</v>
      </c>
      <c r="O110" s="28">
        <f t="shared" si="46"/>
        <v>0.657516232431988</v>
      </c>
    </row>
    <row r="111" spans="1:20">
      <c r="A111" s="6" t="s">
        <v>292</v>
      </c>
      <c r="B111" s="6" t="s">
        <v>65</v>
      </c>
      <c r="D111" s="22">
        <f t="shared" ref="D111:O111" si="47">D108*D110</f>
        <v>-21.5101407722995</v>
      </c>
      <c r="E111" s="22">
        <f t="shared" si="47"/>
        <v>-23.3359328262139</v>
      </c>
      <c r="F111" s="22">
        <f t="shared" si="47"/>
        <v>-52.2512915121998</v>
      </c>
      <c r="G111" s="22">
        <f t="shared" si="47"/>
        <v>-50.4577441160326</v>
      </c>
      <c r="H111" s="22">
        <f t="shared" si="47"/>
        <v>-31.5439011869526</v>
      </c>
      <c r="I111" s="22">
        <f t="shared" si="47"/>
        <v>-30.4360593178002</v>
      </c>
      <c r="J111" s="22">
        <f t="shared" si="47"/>
        <v>-29.3590378846563</v>
      </c>
      <c r="K111" s="22">
        <f t="shared" si="47"/>
        <v>-28.3224280286216</v>
      </c>
      <c r="L111" s="22">
        <f t="shared" si="47"/>
        <v>-30.1661025392857</v>
      </c>
      <c r="M111" s="22">
        <f t="shared" si="47"/>
        <v>-29.0712693783931</v>
      </c>
      <c r="N111" s="22">
        <f t="shared" si="47"/>
        <v>-28.0023387991539</v>
      </c>
      <c r="O111" s="22">
        <f t="shared" si="47"/>
        <v>-26.9835786433144</v>
      </c>
      <c r="Q111" s="22">
        <f>SUMIF($D$6:$O$6,Q$6,$D111:$O111)</f>
        <v>-147.555109226746</v>
      </c>
      <c r="R111" s="22">
        <f>SUMIF($D$6:$O$6,R$6,$D111:$O111)</f>
        <v>-119.661426418031</v>
      </c>
      <c r="S111" s="22">
        <f>SUMIF($D$6:$O$6,S$6,$D111:$O111)</f>
        <v>-114.223289360147</v>
      </c>
      <c r="T111" s="23">
        <f>SUM(Q111:S111)</f>
        <v>-381.439825004924</v>
      </c>
    </row>
    <row r="112" spans="1:20">
      <c r="A112" s="24" t="s">
        <v>293</v>
      </c>
      <c r="B112" s="24" t="s">
        <v>65</v>
      </c>
      <c r="D112" s="25">
        <f>SUM($D111:D111)</f>
        <v>-21.5101407722995</v>
      </c>
      <c r="E112" s="25">
        <f>SUM($D111:E111)</f>
        <v>-44.8460735985134</v>
      </c>
      <c r="F112" s="25">
        <f>SUM($D111:F111)</f>
        <v>-97.0973651107132</v>
      </c>
      <c r="G112" s="25">
        <f>SUM($D111:G111)</f>
        <v>-147.555109226746</v>
      </c>
      <c r="H112" s="25">
        <f>SUM($D111:H111)</f>
        <v>-179.099010413698</v>
      </c>
      <c r="I112" s="25">
        <f>SUM($D111:I111)</f>
        <v>-209.535069731499</v>
      </c>
      <c r="J112" s="25">
        <f>SUM($D111:J111)</f>
        <v>-238.894107616155</v>
      </c>
      <c r="K112" s="25">
        <f>SUM($D111:K111)</f>
        <v>-267.216535644777</v>
      </c>
      <c r="L112" s="25">
        <f>SUM($D111:L111)</f>
        <v>-297.382638184062</v>
      </c>
      <c r="M112" s="25">
        <f>SUM($D111:M111)</f>
        <v>-326.453907562455</v>
      </c>
      <c r="N112" s="25">
        <f>SUM($D111:N111)</f>
        <v>-354.456246361609</v>
      </c>
      <c r="O112" s="25">
        <f>SUM($D111:O111)</f>
        <v>-381.439825004924</v>
      </c>
    </row>
    <row r="113" spans="1:20">
      <c r="A113" s="6" t="s">
        <v>294</v>
      </c>
      <c r="B113" s="6" t="s">
        <v>295</v>
      </c>
      <c r="D113" s="19">
        <f t="shared" ref="D113:O113" si="48">IF(D112&gt;=0,1,0)</f>
        <v>0</v>
      </c>
      <c r="E113" s="19">
        <f t="shared" si="48"/>
        <v>0</v>
      </c>
      <c r="F113" s="19">
        <f t="shared" si="48"/>
        <v>0</v>
      </c>
      <c r="G113" s="19">
        <f t="shared" si="48"/>
        <v>0</v>
      </c>
      <c r="H113" s="19">
        <f t="shared" si="48"/>
        <v>0</v>
      </c>
      <c r="I113" s="19">
        <f t="shared" si="48"/>
        <v>0</v>
      </c>
      <c r="J113" s="19">
        <f t="shared" si="48"/>
        <v>0</v>
      </c>
      <c r="K113" s="19">
        <f t="shared" si="48"/>
        <v>0</v>
      </c>
      <c r="L113" s="19">
        <f t="shared" si="48"/>
        <v>0</v>
      </c>
      <c r="M113" s="19">
        <f t="shared" si="48"/>
        <v>0</v>
      </c>
      <c r="N113" s="19">
        <f t="shared" si="48"/>
        <v>0</v>
      </c>
      <c r="O113" s="19">
        <f t="shared" si="48"/>
        <v>0</v>
      </c>
    </row>
    <row r="114" spans="1:20">
      <c r="A114" s="6" t="s">
        <v>296</v>
      </c>
      <c r="B114" s="6" t="s">
        <v>295</v>
      </c>
      <c r="D114" s="19">
        <f t="shared" ref="D114:O114" si="49">IF(D109&gt;=0,1,0)</f>
        <v>0</v>
      </c>
      <c r="E114" s="19">
        <f t="shared" si="49"/>
        <v>0</v>
      </c>
      <c r="F114" s="19">
        <f t="shared" si="49"/>
        <v>0</v>
      </c>
      <c r="G114" s="19">
        <f t="shared" si="49"/>
        <v>0</v>
      </c>
      <c r="H114" s="19">
        <f t="shared" si="49"/>
        <v>0</v>
      </c>
      <c r="I114" s="19">
        <f t="shared" si="49"/>
        <v>0</v>
      </c>
      <c r="J114" s="19">
        <f t="shared" si="49"/>
        <v>0</v>
      </c>
      <c r="K114" s="19">
        <f t="shared" si="49"/>
        <v>0</v>
      </c>
      <c r="L114" s="19">
        <f t="shared" si="49"/>
        <v>0</v>
      </c>
      <c r="M114" s="19">
        <f t="shared" si="49"/>
        <v>0</v>
      </c>
      <c r="N114" s="19">
        <f t="shared" si="49"/>
        <v>0</v>
      </c>
      <c r="O114" s="19">
        <f t="shared" si="49"/>
        <v>0</v>
      </c>
    </row>
    <row r="116" spans="1:20">
      <c r="A116" s="12" t="s">
        <v>297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>
      <c r="A117" s="4" t="s">
        <v>298</v>
      </c>
      <c r="B117" s="6" t="s">
        <v>181</v>
      </c>
      <c r="C117" s="10" t="str">
        <f>IFERROR(INDEX($D$5:$O$5,MATCH(1,$D$114:$O$114,0)),"не окупается")</f>
        <v>не окупается</v>
      </c>
    </row>
    <row r="118" spans="1:20">
      <c r="A118" s="4" t="s">
        <v>299</v>
      </c>
      <c r="B118" s="6" t="s">
        <v>181</v>
      </c>
      <c r="C118" s="10" t="str">
        <f>IFERROR(INDEX($D$5:$O$5,MATCH(1,$D$113:$O$113,0)),"не окупается")</f>
        <v>не окупается</v>
      </c>
    </row>
    <row r="119" spans="1:20">
      <c r="A119" s="6" t="s">
        <v>300</v>
      </c>
      <c r="B119" s="6" t="s">
        <v>301</v>
      </c>
      <c r="C119" s="19" t="str">
        <f>IF(ISNUMBER(C117),C117*3,"н/д")</f>
        <v>н/д</v>
      </c>
    </row>
    <row r="120" spans="1:20">
      <c r="A120" s="4" t="s">
        <v>302</v>
      </c>
      <c r="B120" s="6" t="s">
        <v>65</v>
      </c>
      <c r="C120" s="23">
        <f>MAX(0,-MIN($D$109:$O$109))</f>
        <v>478.110049462181</v>
      </c>
    </row>
    <row r="121" spans="1:20">
      <c r="A121" s="6" t="s">
        <v>303</v>
      </c>
      <c r="B121" s="6" t="s">
        <v>76</v>
      </c>
      <c r="C121" s="20">
        <f>IF($C$10&gt;0,C120/$C$10,0)</f>
        <v>0.0478110049462181</v>
      </c>
    </row>
    <row r="122" spans="1:20">
      <c r="A122" s="6" t="s">
        <v>304</v>
      </c>
      <c r="B122" s="6" t="s">
        <v>65</v>
      </c>
      <c r="C122" s="22">
        <f>T91</f>
        <v>58.0378704039927</v>
      </c>
    </row>
    <row r="123" spans="1:20">
      <c r="A123" s="6" t="s">
        <v>305</v>
      </c>
      <c r="B123" s="6" t="s">
        <v>65</v>
      </c>
      <c r="C123" s="22">
        <f>T105</f>
        <v>527.442239305575</v>
      </c>
    </row>
    <row r="124" spans="1:20">
      <c r="A124" s="4" t="s">
        <v>306</v>
      </c>
      <c r="B124" s="6" t="s">
        <v>65</v>
      </c>
      <c r="C124" s="23">
        <f>O109</f>
        <v>-478.110049462181</v>
      </c>
    </row>
    <row r="125" spans="1:20">
      <c r="A125" s="6" t="s">
        <v>307</v>
      </c>
      <c r="B125" s="6" t="s">
        <v>65</v>
      </c>
      <c r="C125" s="22">
        <f>SUM($D$111:$O$111)</f>
        <v>-381.439825004924</v>
      </c>
    </row>
    <row r="126" spans="1:20">
      <c r="A126" s="6" t="s">
        <v>308</v>
      </c>
      <c r="B126" s="6" t="s">
        <v>76</v>
      </c>
      <c r="C126" s="20">
        <f>IF(C123&gt;0,C124/C123,0)</f>
        <v>-0.906469019416526</v>
      </c>
    </row>
    <row r="127" spans="1:20">
      <c r="A127" s="6" t="s">
        <v>309</v>
      </c>
      <c r="B127" s="6" t="s">
        <v>188</v>
      </c>
      <c r="C127" s="22">
        <f>O108*4</f>
        <v>-164.154600676603</v>
      </c>
    </row>
    <row r="128" spans="1:20">
      <c r="A128" s="6" t="s">
        <v>310</v>
      </c>
      <c r="B128" s="6" t="s">
        <v>252</v>
      </c>
      <c r="C128" s="19">
        <f>T74</f>
        <v>1476.00506375</v>
      </c>
    </row>
    <row r="129" spans="1:3">
      <c r="A129" s="6" t="s">
        <v>311</v>
      </c>
      <c r="B129" s="6" t="s">
        <v>252</v>
      </c>
      <c r="C129" s="19">
        <f>T83</f>
        <v>216.97274437125</v>
      </c>
    </row>
    <row r="130" spans="1:3">
      <c r="A130" s="6" t="s">
        <v>312</v>
      </c>
      <c r="B130" s="6" t="s">
        <v>76</v>
      </c>
      <c r="C130" s="29">
        <f>$C$30*$C$32-$C$31</f>
        <v>0.021</v>
      </c>
    </row>
    <row r="131" spans="1:3">
      <c r="A131" s="6" t="s">
        <v>313</v>
      </c>
      <c r="B131" s="6" t="s">
        <v>65</v>
      </c>
      <c r="C131" s="22">
        <f>$C$13*T84</f>
        <v>44.3633665744912</v>
      </c>
    </row>
    <row r="132" spans="1:3">
      <c r="A132" s="6" t="s">
        <v>23</v>
      </c>
      <c r="B132" s="6" t="s">
        <v>76</v>
      </c>
      <c r="C132" s="20">
        <f>$C$30</f>
        <v>0.04</v>
      </c>
    </row>
    <row r="133" spans="1:3">
      <c r="A133" s="6" t="s">
        <v>314</v>
      </c>
      <c r="B133" s="6" t="s">
        <v>65</v>
      </c>
      <c r="C133" s="22">
        <f>$C$13*SUMPRODUCT($D$84:$O$84,$D$110:$O$110)</f>
        <v>31.8477114649922</v>
      </c>
    </row>
    <row r="134" spans="1:3">
      <c r="A134" s="4" t="s">
        <v>22</v>
      </c>
      <c r="B134" s="6" t="s">
        <v>76</v>
      </c>
      <c r="C134" s="30">
        <f>IF(AND(C133&gt;0,C130&gt;0,$C$32&gt;0),($C$31+C130*(1-C125/C133))/$C$32,"н/д")</f>
        <v>0.426949012449617</v>
      </c>
    </row>
    <row r="135" spans="1:3">
      <c r="A135" s="4" t="s">
        <v>21</v>
      </c>
      <c r="B135" s="6" t="s">
        <v>76</v>
      </c>
      <c r="C135" s="30">
        <f>IF(AND(C131&gt;0,C130&gt;0,$C$32&gt;0),($C$31+C130*(1-O109/C131))/$C$32,"н/д")</f>
        <v>0.388184404384709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5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A1" sqref="A1"/>
    </sheetView>
  </sheetViews>
  <sheetFormatPr defaultColWidth="8.67619047619048" defaultRowHeight="15"/>
  <cols>
    <col min="1" max="1" width="62" customWidth="1"/>
    <col min="2" max="2" width="12" customWidth="1"/>
    <col min="3" max="3" width="14" customWidth="1"/>
    <col min="4" max="15" width="9.51428571428571" customWidth="1"/>
    <col min="16" max="16" width="2" customWidth="1"/>
    <col min="17" max="20" width="11" customWidth="1"/>
  </cols>
  <sheetData>
    <row r="1" ht="18" spans="1:20">
      <c r="A1" s="1" t="s">
        <v>315</v>
      </c>
    </row>
    <row r="2" spans="1:20">
      <c r="A2" s="6" t="s">
        <v>239</v>
      </c>
      <c r="C2" s="7">
        <v>2</v>
      </c>
    </row>
    <row r="3" spans="1:20">
      <c r="A3" s="6" t="s">
        <v>240</v>
      </c>
      <c r="C3" s="8" t="str">
        <f>INDEX(Допущения!$C$4:$E$4,$C$2)</f>
        <v>База</v>
      </c>
    </row>
    <row r="4" spans="1:20">
      <c r="A4" s="9" t="s">
        <v>241</v>
      </c>
    </row>
    <row r="5" spans="1:20">
      <c r="A5" s="4" t="s">
        <v>242</v>
      </c>
      <c r="D5" s="7">
        <v>1</v>
      </c>
      <c r="E5" s="10">
        <f t="shared" ref="E5:O5" si="0">D5+1</f>
        <v>2</v>
      </c>
      <c r="F5" s="10">
        <f t="shared" si="0"/>
        <v>3</v>
      </c>
      <c r="G5" s="10">
        <f t="shared" si="0"/>
        <v>4</v>
      </c>
      <c r="H5" s="10">
        <f t="shared" si="0"/>
        <v>5</v>
      </c>
      <c r="I5" s="10">
        <f t="shared" si="0"/>
        <v>6</v>
      </c>
      <c r="J5" s="10">
        <f t="shared" si="0"/>
        <v>7</v>
      </c>
      <c r="K5" s="10">
        <f t="shared" si="0"/>
        <v>8</v>
      </c>
      <c r="L5" s="10">
        <f t="shared" si="0"/>
        <v>9</v>
      </c>
      <c r="M5" s="10">
        <f t="shared" si="0"/>
        <v>10</v>
      </c>
      <c r="N5" s="10">
        <f t="shared" si="0"/>
        <v>11</v>
      </c>
      <c r="O5" s="10">
        <f t="shared" si="0"/>
        <v>12</v>
      </c>
    </row>
    <row r="6" spans="1:20">
      <c r="A6" s="4" t="s">
        <v>243</v>
      </c>
      <c r="D6" s="10">
        <f t="shared" ref="D6:O6" si="1">ROUNDUP(D5/4,0)</f>
        <v>1</v>
      </c>
      <c r="E6" s="10">
        <f t="shared" si="1"/>
        <v>1</v>
      </c>
      <c r="F6" s="10">
        <f t="shared" si="1"/>
        <v>1</v>
      </c>
      <c r="G6" s="10">
        <f t="shared" si="1"/>
        <v>1</v>
      </c>
      <c r="H6" s="10">
        <f t="shared" si="1"/>
        <v>2</v>
      </c>
      <c r="I6" s="10">
        <f t="shared" si="1"/>
        <v>2</v>
      </c>
      <c r="J6" s="10">
        <f t="shared" si="1"/>
        <v>2</v>
      </c>
      <c r="K6" s="10">
        <f t="shared" si="1"/>
        <v>2</v>
      </c>
      <c r="L6" s="10">
        <f t="shared" si="1"/>
        <v>3</v>
      </c>
      <c r="M6" s="10">
        <f t="shared" si="1"/>
        <v>3</v>
      </c>
      <c r="N6" s="10">
        <f t="shared" si="1"/>
        <v>3</v>
      </c>
      <c r="O6" s="10">
        <f t="shared" si="1"/>
        <v>3</v>
      </c>
      <c r="Q6" s="7">
        <v>1</v>
      </c>
      <c r="R6" s="7">
        <v>2</v>
      </c>
      <c r="S6" s="7">
        <v>3</v>
      </c>
    </row>
    <row r="7" spans="1:20">
      <c r="A7" s="2" t="s">
        <v>244</v>
      </c>
      <c r="B7" s="2"/>
      <c r="C7" s="2" t="s">
        <v>59</v>
      </c>
      <c r="D7" s="11" t="str">
        <f t="shared" ref="D7:O7" si="2">"Q"&amp;(MOD(D5-1,4)+1)&amp;" "&amp;(2026+D6)</f>
        <v>Q1 2027</v>
      </c>
      <c r="E7" s="11" t="str">
        <f t="shared" si="2"/>
        <v>Q2 2027</v>
      </c>
      <c r="F7" s="11" t="str">
        <f t="shared" si="2"/>
        <v>Q3 2027</v>
      </c>
      <c r="G7" s="11" t="str">
        <f t="shared" si="2"/>
        <v>Q4 2027</v>
      </c>
      <c r="H7" s="11" t="str">
        <f t="shared" si="2"/>
        <v>Q1 2028</v>
      </c>
      <c r="I7" s="11" t="str">
        <f t="shared" si="2"/>
        <v>Q2 2028</v>
      </c>
      <c r="J7" s="11" t="str">
        <f t="shared" si="2"/>
        <v>Q3 2028</v>
      </c>
      <c r="K7" s="11" t="str">
        <f t="shared" si="2"/>
        <v>Q4 2028</v>
      </c>
      <c r="L7" s="11" t="str">
        <f t="shared" si="2"/>
        <v>Q1 2029</v>
      </c>
      <c r="M7" s="11" t="str">
        <f t="shared" si="2"/>
        <v>Q2 2029</v>
      </c>
      <c r="N7" s="11" t="str">
        <f t="shared" si="2"/>
        <v>Q3 2029</v>
      </c>
      <c r="O7" s="11" t="str">
        <f t="shared" si="2"/>
        <v>Q4 2029</v>
      </c>
      <c r="Q7" s="11" t="s">
        <v>30</v>
      </c>
      <c r="R7" s="11" t="s">
        <v>31</v>
      </c>
      <c r="S7" s="11" t="s">
        <v>32</v>
      </c>
      <c r="T7" s="11" t="s">
        <v>33</v>
      </c>
    </row>
    <row r="9" spans="1:20">
      <c r="A9" s="12" t="s">
        <v>245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>
      <c r="A10" s="6" t="s">
        <v>64</v>
      </c>
      <c r="B10" s="6" t="s">
        <v>65</v>
      </c>
      <c r="C10" s="14">
        <f>INDEX(Допущения!$C$6:$E$6,$C$2)</f>
        <v>10000</v>
      </c>
    </row>
    <row r="11" spans="1:20">
      <c r="A11" s="6" t="s">
        <v>68</v>
      </c>
      <c r="B11" s="6" t="s">
        <v>69</v>
      </c>
      <c r="C11" s="14">
        <f>INDEX(Допущения!$C$7:$E$7,$C$2)</f>
        <v>12</v>
      </c>
    </row>
    <row r="12" spans="1:20">
      <c r="A12" s="6" t="s">
        <v>71</v>
      </c>
      <c r="B12" s="6" t="s">
        <v>72</v>
      </c>
      <c r="C12" s="15">
        <f>INDEX(Допущения!$C$8:$E$8,$C$2)</f>
        <v>0.15</v>
      </c>
    </row>
    <row r="13" spans="1:20">
      <c r="A13" s="6" t="s">
        <v>75</v>
      </c>
      <c r="B13" s="6" t="s">
        <v>76</v>
      </c>
      <c r="C13" s="15">
        <f>INDEX(Допущения!$C$9:$E$9,$C$2)</f>
        <v>0.85</v>
      </c>
    </row>
    <row r="14" spans="1:20">
      <c r="A14" s="6" t="s">
        <v>79</v>
      </c>
      <c r="B14" s="6" t="s">
        <v>80</v>
      </c>
      <c r="C14" s="14">
        <f>INDEX(Допущения!$C$11:$E$11,$C$2)</f>
        <v>200</v>
      </c>
    </row>
    <row r="15" spans="1:20">
      <c r="A15" s="6" t="s">
        <v>83</v>
      </c>
      <c r="B15" s="6" t="s">
        <v>72</v>
      </c>
      <c r="C15" s="15">
        <f>INDEX(Допущения!$C$12:$E$12,$C$2)</f>
        <v>0.07</v>
      </c>
    </row>
    <row r="16" spans="1:20">
      <c r="A16" s="6" t="s">
        <v>85</v>
      </c>
      <c r="B16" s="6" t="s">
        <v>76</v>
      </c>
      <c r="C16" s="15">
        <f>INDEX(Допущения!$C$13:$E$13,$C$2)</f>
        <v>0.4</v>
      </c>
    </row>
    <row r="17" spans="1:3">
      <c r="A17" s="6" t="s">
        <v>87</v>
      </c>
      <c r="B17" s="6" t="s">
        <v>88</v>
      </c>
      <c r="C17" s="15">
        <f>INDEX(Допущения!$C$14:$E$14,$C$2)</f>
        <v>0.03</v>
      </c>
    </row>
    <row r="18" spans="1:3">
      <c r="A18" s="6" t="s">
        <v>90</v>
      </c>
      <c r="B18" s="6" t="s">
        <v>91</v>
      </c>
      <c r="C18" s="14">
        <f>INDEX(Допущения!$C$15:$E$15,$C$2)</f>
        <v>51</v>
      </c>
    </row>
    <row r="19" spans="1:3">
      <c r="A19" s="6" t="s">
        <v>94</v>
      </c>
      <c r="B19" s="6" t="s">
        <v>76</v>
      </c>
      <c r="C19" s="15">
        <f>INDEX(Допущения!$C$17:$E$17,$C$2)</f>
        <v>0.31</v>
      </c>
    </row>
    <row r="20" spans="1:3">
      <c r="A20" s="6" t="s">
        <v>96</v>
      </c>
      <c r="B20" s="6" t="s">
        <v>76</v>
      </c>
      <c r="C20" s="15">
        <f>INDEX(Допущения!$C$18:$E$18,$C$2)</f>
        <v>0.55</v>
      </c>
    </row>
    <row r="21" spans="1:3">
      <c r="A21" s="6" t="s">
        <v>98</v>
      </c>
      <c r="B21" s="6" t="s">
        <v>76</v>
      </c>
      <c r="C21" s="15">
        <f>INDEX(Допущения!$C$19:$E$19,$C$2)</f>
        <v>0.7</v>
      </c>
    </row>
    <row r="22" spans="1:3">
      <c r="A22" s="6" t="s">
        <v>100</v>
      </c>
      <c r="B22" s="6" t="s">
        <v>76</v>
      </c>
      <c r="C22" s="15">
        <f>INDEX(Допущения!$C$20:$E$20,$C$2)</f>
        <v>0.45</v>
      </c>
    </row>
    <row r="23" spans="1:3">
      <c r="A23" s="6" t="s">
        <v>103</v>
      </c>
      <c r="B23" s="6" t="s">
        <v>76</v>
      </c>
      <c r="C23" s="15">
        <f>INDEX(Допущения!$C$22:$E$22,$C$2)</f>
        <v>0.08</v>
      </c>
    </row>
    <row r="24" spans="1:3">
      <c r="A24" s="6" t="s">
        <v>105</v>
      </c>
      <c r="B24" s="6" t="s">
        <v>76</v>
      </c>
      <c r="C24" s="15">
        <f>INDEX(Допущения!$C$23:$E$23,$C$2)</f>
        <v>0.25</v>
      </c>
    </row>
    <row r="25" spans="1:3">
      <c r="A25" s="6" t="s">
        <v>107</v>
      </c>
      <c r="B25" s="6" t="s">
        <v>69</v>
      </c>
      <c r="C25" s="14">
        <f>INDEX(Допущения!$C$24:$E$24,$C$2)</f>
        <v>2</v>
      </c>
    </row>
    <row r="26" spans="1:3">
      <c r="A26" s="6" t="s">
        <v>109</v>
      </c>
      <c r="B26" s="6" t="s">
        <v>76</v>
      </c>
      <c r="C26" s="15">
        <f>INDEX(Допущения!$C$25:$E$25,$C$2)</f>
        <v>0.08</v>
      </c>
    </row>
    <row r="27" spans="1:3">
      <c r="A27" s="6" t="s">
        <v>111</v>
      </c>
      <c r="B27" s="6" t="s">
        <v>76</v>
      </c>
      <c r="C27" s="15">
        <f>INDEX(Допущения!$C$26:$E$26,$C$2)</f>
        <v>0.18</v>
      </c>
    </row>
    <row r="28" spans="1:3">
      <c r="A28" s="6" t="s">
        <v>112</v>
      </c>
      <c r="B28" s="6" t="s">
        <v>113</v>
      </c>
      <c r="C28" s="14">
        <f>INDEX(Допущения!$C$27:$E$27,$C$2)</f>
        <v>200</v>
      </c>
    </row>
    <row r="29" spans="1:3">
      <c r="A29" s="6" t="s">
        <v>114</v>
      </c>
      <c r="B29" s="6" t="s">
        <v>76</v>
      </c>
      <c r="C29" s="15">
        <f>INDEX(Допущения!$C$28:$E$28,$C$2)</f>
        <v>0.3</v>
      </c>
    </row>
    <row r="30" spans="1:3">
      <c r="A30" s="6" t="s">
        <v>117</v>
      </c>
      <c r="B30" s="6" t="s">
        <v>76</v>
      </c>
      <c r="C30" s="15">
        <f>INDEX(Допущения!$C$30:$E$30,$C$2)</f>
        <v>0.05</v>
      </c>
    </row>
    <row r="31" spans="1:3">
      <c r="A31" s="6" t="s">
        <v>122</v>
      </c>
      <c r="B31" s="6" t="s">
        <v>76</v>
      </c>
      <c r="C31" s="15">
        <f>INDEX(Допущения!$C$32:$E$32,$C$2)</f>
        <v>0.003</v>
      </c>
    </row>
    <row r="32" spans="1:3">
      <c r="A32" s="6" t="s">
        <v>120</v>
      </c>
      <c r="B32" s="6" t="s">
        <v>76</v>
      </c>
      <c r="C32" s="15">
        <f>INDEX(Допущения!$C$31:$E$31,$C$2)</f>
        <v>0.75</v>
      </c>
    </row>
    <row r="33" spans="1:3">
      <c r="A33" s="6" t="s">
        <v>124</v>
      </c>
      <c r="B33" s="6" t="s">
        <v>113</v>
      </c>
      <c r="C33" s="14">
        <f>INDEX(Допущения!$C$33:$E$33,$C$2)</f>
        <v>2000</v>
      </c>
    </row>
    <row r="34" spans="1:3">
      <c r="A34" s="6" t="s">
        <v>127</v>
      </c>
      <c r="B34" s="6" t="s">
        <v>76</v>
      </c>
      <c r="C34" s="15">
        <f>INDEX(Допущения!$C$34:$E$34,$C$2)</f>
        <v>0.125</v>
      </c>
    </row>
    <row r="35" spans="1:3">
      <c r="A35" s="6" t="s">
        <v>129</v>
      </c>
      <c r="B35" s="6" t="s">
        <v>72</v>
      </c>
      <c r="C35" s="15">
        <f>INDEX(Допущения!$C$35:$E$35,$C$2)</f>
        <v>0.06</v>
      </c>
    </row>
    <row r="36" spans="1:3">
      <c r="A36" s="6" t="s">
        <v>246</v>
      </c>
      <c r="B36" s="6" t="s">
        <v>113</v>
      </c>
      <c r="C36" s="14">
        <f>$C$33*$C$34</f>
        <v>250</v>
      </c>
    </row>
    <row r="37" spans="1:3">
      <c r="A37" s="6" t="s">
        <v>132</v>
      </c>
      <c r="B37" s="6" t="s">
        <v>76</v>
      </c>
      <c r="C37" s="15">
        <f>INDEX(Допущения!$C$37:$E$37,$C$2)</f>
        <v>0.15</v>
      </c>
    </row>
    <row r="38" spans="1:3">
      <c r="A38" s="6" t="s">
        <v>134</v>
      </c>
      <c r="B38" s="6" t="s">
        <v>135</v>
      </c>
      <c r="C38" s="16">
        <f>INDEX(Допущения!$C$38:$E$38,$C$2)</f>
        <v>0.8</v>
      </c>
    </row>
    <row r="39" spans="1:3">
      <c r="A39" s="6" t="s">
        <v>137</v>
      </c>
      <c r="B39" s="6" t="s">
        <v>138</v>
      </c>
      <c r="C39" s="14">
        <f>INDEX(Допущения!$C$39:$E$39,$C$2)</f>
        <v>10</v>
      </c>
    </row>
    <row r="40" spans="1:3">
      <c r="A40" s="6" t="s">
        <v>139</v>
      </c>
      <c r="B40" s="6" t="s">
        <v>113</v>
      </c>
      <c r="C40" s="16">
        <f>INDEX(Допущения!$C$40:$E$40,$C$2)</f>
        <v>0.08</v>
      </c>
    </row>
    <row r="41" spans="1:3">
      <c r="A41" s="6" t="s">
        <v>142</v>
      </c>
      <c r="B41" s="6" t="s">
        <v>143</v>
      </c>
      <c r="C41" s="16">
        <f>INDEX(Допущения!$C$42:$E$42,$C$2)</f>
        <v>0</v>
      </c>
    </row>
    <row r="42" spans="1:3">
      <c r="A42" s="6" t="s">
        <v>145</v>
      </c>
      <c r="B42" s="6" t="s">
        <v>113</v>
      </c>
      <c r="C42" s="14">
        <f>INDEX(Допущения!$C$43:$E$43,$C$2)</f>
        <v>200</v>
      </c>
    </row>
    <row r="43" spans="1:3">
      <c r="A43" s="6" t="s">
        <v>247</v>
      </c>
      <c r="B43" s="6" t="s">
        <v>153</v>
      </c>
      <c r="C43" s="17">
        <f>Допущения!C54*INDEX(Допущения!$C$57:$E$57,$C$2)</f>
        <v>12.75</v>
      </c>
    </row>
    <row r="44" spans="1:3">
      <c r="A44" s="6" t="s">
        <v>248</v>
      </c>
      <c r="B44" s="6" t="s">
        <v>153</v>
      </c>
      <c r="C44" s="17">
        <f>Допущения!D54*INDEX(Допущения!$C$57:$E$57,$C$2)</f>
        <v>16.15</v>
      </c>
    </row>
    <row r="45" spans="1:3">
      <c r="A45" s="6" t="s">
        <v>249</v>
      </c>
      <c r="B45" s="6" t="s">
        <v>153</v>
      </c>
      <c r="C45" s="17">
        <f>Допущения!E54*INDEX(Допущения!$C$57:$E$57,$C$2)</f>
        <v>17</v>
      </c>
    </row>
    <row r="46" spans="1:3">
      <c r="A46" s="6" t="s">
        <v>167</v>
      </c>
      <c r="B46" s="6" t="s">
        <v>168</v>
      </c>
      <c r="C46" s="14">
        <f>INDEX(Допущения!$C$58:$E$58,$C$2)</f>
        <v>450</v>
      </c>
    </row>
    <row r="47" spans="1:3">
      <c r="A47" s="6" t="s">
        <v>170</v>
      </c>
      <c r="B47" s="6" t="s">
        <v>72</v>
      </c>
      <c r="C47" s="15">
        <f>INDEX(Допущения!$C$59:$E$59,$C$2)</f>
        <v>0.08</v>
      </c>
    </row>
    <row r="48" spans="1:3">
      <c r="A48" s="6" t="s">
        <v>172</v>
      </c>
      <c r="B48" s="6" t="s">
        <v>138</v>
      </c>
      <c r="C48" s="16">
        <f>INDEX(Допущения!$C$61:$E$61,$C$2)</f>
        <v>2</v>
      </c>
    </row>
    <row r="49" spans="1:20">
      <c r="A49" s="6" t="s">
        <v>174</v>
      </c>
      <c r="B49" s="6" t="s">
        <v>113</v>
      </c>
      <c r="C49" s="16">
        <f>INDEX(Допущения!$C$62:$E$62,$C$2)</f>
        <v>1</v>
      </c>
    </row>
    <row r="50" spans="1:20">
      <c r="A50" s="6" t="s">
        <v>176</v>
      </c>
      <c r="B50" s="6" t="s">
        <v>76</v>
      </c>
      <c r="C50" s="15">
        <f>INDEX(Допущения!$C$63:$E$63,$C$2)</f>
        <v>0.04</v>
      </c>
    </row>
    <row r="51" spans="1:20">
      <c r="A51" s="6" t="s">
        <v>177</v>
      </c>
      <c r="B51" s="6" t="s">
        <v>113</v>
      </c>
      <c r="C51" s="14">
        <f>INDEX(Допущения!$C$64:$E$64,$C$2)</f>
        <v>20</v>
      </c>
    </row>
    <row r="52" spans="1:20">
      <c r="A52" s="6" t="s">
        <v>178</v>
      </c>
      <c r="B52" s="6" t="s">
        <v>113</v>
      </c>
      <c r="C52" s="16">
        <f>INDEX(Допущения!$C$65:$E$65,$C$2)</f>
        <v>2</v>
      </c>
    </row>
    <row r="53" spans="1:20">
      <c r="A53" s="6" t="s">
        <v>179</v>
      </c>
      <c r="B53" s="6" t="s">
        <v>65</v>
      </c>
      <c r="C53" s="18">
        <f>INDEX(Допущения!$C$66:$E$66,$C$2)</f>
        <v>2.5</v>
      </c>
    </row>
    <row r="54" spans="1:20">
      <c r="A54" s="6" t="s">
        <v>180</v>
      </c>
      <c r="B54" s="6" t="s">
        <v>181</v>
      </c>
      <c r="C54" s="14">
        <f>INDEX(Допущения!$C$67:$E$67,$C$2)</f>
        <v>2</v>
      </c>
    </row>
    <row r="55" spans="1:20">
      <c r="A55" s="6" t="s">
        <v>183</v>
      </c>
      <c r="B55" s="6" t="s">
        <v>76</v>
      </c>
      <c r="C55" s="15">
        <f>INDEX(Допущения!$C$68:$E$68,$C$2)</f>
        <v>0.5</v>
      </c>
    </row>
    <row r="56" spans="1:20">
      <c r="A56" s="6" t="s">
        <v>185</v>
      </c>
      <c r="B56" s="6" t="s">
        <v>113</v>
      </c>
      <c r="C56" s="14">
        <f>INDEX(Допущения!$C$69:$E$69,$C$2)</f>
        <v>25</v>
      </c>
    </row>
    <row r="57" spans="1:20">
      <c r="A57" s="6" t="s">
        <v>187</v>
      </c>
      <c r="B57" s="6" t="s">
        <v>188</v>
      </c>
      <c r="C57" s="14">
        <f>INDEX(Допущения!$C$70:$E$70,$C$2)</f>
        <v>150</v>
      </c>
    </row>
    <row r="58" spans="1:20">
      <c r="A58" s="6" t="s">
        <v>190</v>
      </c>
      <c r="B58" s="6" t="s">
        <v>76</v>
      </c>
      <c r="C58" s="15">
        <f>INDEX(Допущения!$C$71:$E$71,$C$2)</f>
        <v>0.1</v>
      </c>
    </row>
    <row r="59" spans="1:20">
      <c r="A59" s="6" t="s">
        <v>192</v>
      </c>
      <c r="B59" s="6" t="s">
        <v>65</v>
      </c>
      <c r="C59" s="14">
        <f>INDEX(Допущения!$C$73:$E$73,$C$2)</f>
        <v>50</v>
      </c>
    </row>
    <row r="60" spans="1:20">
      <c r="A60" s="6" t="s">
        <v>194</v>
      </c>
      <c r="B60" s="6" t="s">
        <v>181</v>
      </c>
      <c r="C60" s="14">
        <f>INDEX(Допущения!$C$74:$E$74,$C$2)</f>
        <v>3</v>
      </c>
    </row>
    <row r="61" spans="1:20">
      <c r="A61" s="6" t="s">
        <v>195</v>
      </c>
      <c r="B61" s="6" t="s">
        <v>181</v>
      </c>
      <c r="C61" s="14">
        <f>INDEX(Допущения!$C$75:$E$75,$C$2)</f>
        <v>4</v>
      </c>
    </row>
    <row r="62" spans="1:20">
      <c r="A62" s="6" t="s">
        <v>196</v>
      </c>
      <c r="B62" s="6" t="s">
        <v>65</v>
      </c>
      <c r="C62" s="18">
        <f>INDEX(Допущения!$C$76:$E$76,$C$2)</f>
        <v>4</v>
      </c>
    </row>
    <row r="64" spans="1:20">
      <c r="A64" s="12" t="s">
        <v>250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>
      <c r="A65" s="6" t="s">
        <v>251</v>
      </c>
      <c r="B65" s="6" t="s">
        <v>252</v>
      </c>
      <c r="D65" s="19">
        <f t="shared" ref="D65:O65" si="3">$C$14*1000*(1+$C$15)^D$6/4</f>
        <v>53500</v>
      </c>
      <c r="E65" s="19">
        <f t="shared" si="3"/>
        <v>53500</v>
      </c>
      <c r="F65" s="19">
        <f t="shared" si="3"/>
        <v>53500</v>
      </c>
      <c r="G65" s="19">
        <f t="shared" si="3"/>
        <v>53500</v>
      </c>
      <c r="H65" s="19">
        <f t="shared" si="3"/>
        <v>57245</v>
      </c>
      <c r="I65" s="19">
        <f t="shared" si="3"/>
        <v>57245</v>
      </c>
      <c r="J65" s="19">
        <f t="shared" si="3"/>
        <v>57245</v>
      </c>
      <c r="K65" s="19">
        <f t="shared" si="3"/>
        <v>57245</v>
      </c>
      <c r="L65" s="19">
        <f t="shared" si="3"/>
        <v>61252.15</v>
      </c>
      <c r="M65" s="19">
        <f t="shared" si="3"/>
        <v>61252.15</v>
      </c>
      <c r="N65" s="19">
        <f t="shared" si="3"/>
        <v>61252.15</v>
      </c>
      <c r="O65" s="19">
        <f t="shared" si="3"/>
        <v>61252.15</v>
      </c>
      <c r="Q65" s="19">
        <f>SUMIF($D$6:$O$6,Q$6,$D65:$O65)</f>
        <v>214000</v>
      </c>
      <c r="R65" s="19">
        <f>SUMIF($D$6:$O$6,R$6,$D65:$O65)</f>
        <v>228980</v>
      </c>
      <c r="S65" s="19">
        <f>SUMIF($D$6:$O$6,S$6,$D65:$O65)</f>
        <v>245008.6</v>
      </c>
      <c r="T65" s="10">
        <f>SUM(Q65:S65)</f>
        <v>687988.6</v>
      </c>
    </row>
    <row r="66" spans="1:20">
      <c r="A66" s="6" t="s">
        <v>253</v>
      </c>
      <c r="B66" s="6" t="s">
        <v>76</v>
      </c>
      <c r="D66" s="20">
        <f t="shared" ref="D66:O66" si="4">$C$16+$C$17*D$6</f>
        <v>0.43</v>
      </c>
      <c r="E66" s="20">
        <f t="shared" si="4"/>
        <v>0.43</v>
      </c>
      <c r="F66" s="20">
        <f t="shared" si="4"/>
        <v>0.43</v>
      </c>
      <c r="G66" s="20">
        <f t="shared" si="4"/>
        <v>0.43</v>
      </c>
      <c r="H66" s="20">
        <f t="shared" si="4"/>
        <v>0.46</v>
      </c>
      <c r="I66" s="20">
        <f t="shared" si="4"/>
        <v>0.46</v>
      </c>
      <c r="J66" s="20">
        <f t="shared" si="4"/>
        <v>0.46</v>
      </c>
      <c r="K66" s="20">
        <f t="shared" si="4"/>
        <v>0.46</v>
      </c>
      <c r="L66" s="20">
        <f t="shared" si="4"/>
        <v>0.49</v>
      </c>
      <c r="M66" s="20">
        <f t="shared" si="4"/>
        <v>0.49</v>
      </c>
      <c r="N66" s="20">
        <f t="shared" si="4"/>
        <v>0.49</v>
      </c>
      <c r="O66" s="20">
        <f t="shared" si="4"/>
        <v>0.49</v>
      </c>
    </row>
    <row r="67" spans="1:20">
      <c r="A67" s="6" t="s">
        <v>254</v>
      </c>
      <c r="B67" s="6" t="s">
        <v>252</v>
      </c>
      <c r="D67" s="19">
        <f t="shared" ref="D67:O67" si="5">D65*D66</f>
        <v>23005</v>
      </c>
      <c r="E67" s="19">
        <f t="shared" si="5"/>
        <v>23005</v>
      </c>
      <c r="F67" s="19">
        <f t="shared" si="5"/>
        <v>23005</v>
      </c>
      <c r="G67" s="19">
        <f t="shared" si="5"/>
        <v>23005</v>
      </c>
      <c r="H67" s="19">
        <f t="shared" si="5"/>
        <v>26332.7</v>
      </c>
      <c r="I67" s="19">
        <f t="shared" si="5"/>
        <v>26332.7</v>
      </c>
      <c r="J67" s="19">
        <f t="shared" si="5"/>
        <v>26332.7</v>
      </c>
      <c r="K67" s="19">
        <f t="shared" si="5"/>
        <v>26332.7</v>
      </c>
      <c r="L67" s="19">
        <f t="shared" si="5"/>
        <v>30013.5535</v>
      </c>
      <c r="M67" s="19">
        <f t="shared" si="5"/>
        <v>30013.5535</v>
      </c>
      <c r="N67" s="19">
        <f t="shared" si="5"/>
        <v>30013.5535</v>
      </c>
      <c r="O67" s="19">
        <f t="shared" si="5"/>
        <v>30013.5535</v>
      </c>
      <c r="Q67" s="19">
        <f>SUMIF($D$6:$O$6,Q$6,$D67:$O67)</f>
        <v>92020</v>
      </c>
      <c r="R67" s="19">
        <f>SUMIF($D$6:$O$6,R$6,$D67:$O67)</f>
        <v>105330.8</v>
      </c>
      <c r="S67" s="19">
        <f>SUMIF($D$6:$O$6,S$6,$D67:$O67)</f>
        <v>120054.214</v>
      </c>
      <c r="T67" s="10">
        <f>SUM(Q67:S67)</f>
        <v>317405.014</v>
      </c>
    </row>
    <row r="68" spans="1:20">
      <c r="A68" s="6" t="s">
        <v>255</v>
      </c>
      <c r="B68" s="6" t="s">
        <v>76</v>
      </c>
      <c r="D68" s="20">
        <f t="shared" ref="D68:O68" si="6">INDEX($C$19:$C$21,D$6)</f>
        <v>0.31</v>
      </c>
      <c r="E68" s="20">
        <f t="shared" si="6"/>
        <v>0.31</v>
      </c>
      <c r="F68" s="20">
        <f t="shared" si="6"/>
        <v>0.31</v>
      </c>
      <c r="G68" s="20">
        <f t="shared" si="6"/>
        <v>0.31</v>
      </c>
      <c r="H68" s="20">
        <f t="shared" si="6"/>
        <v>0.55</v>
      </c>
      <c r="I68" s="20">
        <f t="shared" si="6"/>
        <v>0.55</v>
      </c>
      <c r="J68" s="20">
        <f t="shared" si="6"/>
        <v>0.55</v>
      </c>
      <c r="K68" s="20">
        <f t="shared" si="6"/>
        <v>0.55</v>
      </c>
      <c r="L68" s="20">
        <f t="shared" si="6"/>
        <v>0.7</v>
      </c>
      <c r="M68" s="20">
        <f t="shared" si="6"/>
        <v>0.7</v>
      </c>
      <c r="N68" s="20">
        <f t="shared" si="6"/>
        <v>0.7</v>
      </c>
      <c r="O68" s="20">
        <f t="shared" si="6"/>
        <v>0.7</v>
      </c>
    </row>
    <row r="69" spans="1:20">
      <c r="A69" s="6" t="s">
        <v>256</v>
      </c>
      <c r="B69" s="6" t="s">
        <v>76</v>
      </c>
      <c r="D69" s="21">
        <f>INDEX(Допущения!D$79:D$81,$C$2)</f>
        <v>0</v>
      </c>
      <c r="E69" s="21">
        <f>INDEX(Допущения!E$79:E$81,$C$2)</f>
        <v>0</v>
      </c>
      <c r="F69" s="21">
        <f>INDEX(Допущения!F$79:F$81,$C$2)</f>
        <v>0.12</v>
      </c>
      <c r="G69" s="21">
        <f>INDEX(Допущения!G$79:G$81,$C$2)</f>
        <v>0.3</v>
      </c>
      <c r="H69" s="21">
        <f>INDEX(Допущения!H$79:H$81,$C$2)</f>
        <v>0.48</v>
      </c>
      <c r="I69" s="21">
        <f>INDEX(Допущения!I$79:I$81,$C$2)</f>
        <v>0.65</v>
      </c>
      <c r="J69" s="21">
        <f>INDEX(Допущения!J$79:J$81,$C$2)</f>
        <v>0.8</v>
      </c>
      <c r="K69" s="21">
        <f>INDEX(Допущения!K$79:K$81,$C$2)</f>
        <v>0.92</v>
      </c>
      <c r="L69" s="21">
        <f>INDEX(Допущения!L$79:L$81,$C$2)</f>
        <v>1</v>
      </c>
      <c r="M69" s="21">
        <f>INDEX(Допущения!M$79:M$81,$C$2)</f>
        <v>1</v>
      </c>
      <c r="N69" s="21">
        <f>INDEX(Допущения!N$79:N$81,$C$2)</f>
        <v>1</v>
      </c>
      <c r="O69" s="21">
        <f>INDEX(Допущения!O$79:O$81,$C$2)</f>
        <v>1</v>
      </c>
    </row>
    <row r="70" spans="1:20">
      <c r="A70" s="6" t="s">
        <v>257</v>
      </c>
      <c r="B70" s="6" t="s">
        <v>252</v>
      </c>
      <c r="D70" s="19">
        <f t="shared" ref="D70:O70" si="7">D67*D68</f>
        <v>7131.55</v>
      </c>
      <c r="E70" s="19">
        <f t="shared" si="7"/>
        <v>7131.55</v>
      </c>
      <c r="F70" s="19">
        <f t="shared" si="7"/>
        <v>7131.55</v>
      </c>
      <c r="G70" s="19">
        <f t="shared" si="7"/>
        <v>7131.55</v>
      </c>
      <c r="H70" s="19">
        <f t="shared" si="7"/>
        <v>14482.985</v>
      </c>
      <c r="I70" s="19">
        <f t="shared" si="7"/>
        <v>14482.985</v>
      </c>
      <c r="J70" s="19">
        <f t="shared" si="7"/>
        <v>14482.985</v>
      </c>
      <c r="K70" s="19">
        <f t="shared" si="7"/>
        <v>14482.985</v>
      </c>
      <c r="L70" s="19">
        <f t="shared" si="7"/>
        <v>21009.48745</v>
      </c>
      <c r="M70" s="19">
        <f t="shared" si="7"/>
        <v>21009.48745</v>
      </c>
      <c r="N70" s="19">
        <f t="shared" si="7"/>
        <v>21009.48745</v>
      </c>
      <c r="O70" s="19">
        <f t="shared" si="7"/>
        <v>21009.48745</v>
      </c>
      <c r="Q70" s="19">
        <f>SUMIF($D$6:$O$6,Q$6,$D70:$O70)</f>
        <v>28526.2</v>
      </c>
      <c r="R70" s="19">
        <f>SUMIF($D$6:$O$6,R$6,$D70:$O70)</f>
        <v>57931.94</v>
      </c>
      <c r="S70" s="19">
        <f>SUMIF($D$6:$O$6,S$6,$D70:$O70)</f>
        <v>84037.9498</v>
      </c>
      <c r="T70" s="10">
        <f>SUM(Q70:S70)</f>
        <v>170496.0898</v>
      </c>
    </row>
    <row r="71" spans="1:20">
      <c r="A71" s="6" t="s">
        <v>258</v>
      </c>
      <c r="B71" s="6" t="s">
        <v>252</v>
      </c>
      <c r="D71" s="19">
        <f t="shared" ref="D71:O71" si="8">D70*$C$22*D69</f>
        <v>0</v>
      </c>
      <c r="E71" s="19">
        <f t="shared" si="8"/>
        <v>0</v>
      </c>
      <c r="F71" s="19">
        <f t="shared" si="8"/>
        <v>385.1037</v>
      </c>
      <c r="G71" s="19">
        <f t="shared" si="8"/>
        <v>962.75925</v>
      </c>
      <c r="H71" s="19">
        <f t="shared" si="8"/>
        <v>3128.32476</v>
      </c>
      <c r="I71" s="19">
        <f t="shared" si="8"/>
        <v>4236.2731125</v>
      </c>
      <c r="J71" s="19">
        <f t="shared" si="8"/>
        <v>5213.8746</v>
      </c>
      <c r="K71" s="19">
        <f t="shared" si="8"/>
        <v>5995.95579</v>
      </c>
      <c r="L71" s="19">
        <f t="shared" si="8"/>
        <v>9454.2693525</v>
      </c>
      <c r="M71" s="19">
        <f t="shared" si="8"/>
        <v>9454.2693525</v>
      </c>
      <c r="N71" s="19">
        <f t="shared" si="8"/>
        <v>9454.2693525</v>
      </c>
      <c r="O71" s="19">
        <f t="shared" si="8"/>
        <v>9454.2693525</v>
      </c>
      <c r="Q71" s="19">
        <f>SUMIF($D$6:$O$6,Q$6,$D71:$O71)</f>
        <v>1347.86295</v>
      </c>
      <c r="R71" s="19">
        <f>SUMIF($D$6:$O$6,R$6,$D71:$O71)</f>
        <v>18574.4282625</v>
      </c>
      <c r="S71" s="19">
        <f>SUMIF($D$6:$O$6,S$6,$D71:$O71)</f>
        <v>37817.07741</v>
      </c>
      <c r="T71" s="10">
        <f>SUM(Q71:S71)</f>
        <v>57739.3686225</v>
      </c>
    </row>
    <row r="73" spans="1:20">
      <c r="A73" s="12" t="s">
        <v>259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>
      <c r="A74" s="6" t="s">
        <v>260</v>
      </c>
      <c r="B74" s="6" t="s">
        <v>252</v>
      </c>
      <c r="D74" s="19">
        <f t="shared" ref="D74:O74" si="9">D70*D69*$C$23</f>
        <v>0</v>
      </c>
      <c r="E74" s="19">
        <f t="shared" si="9"/>
        <v>0</v>
      </c>
      <c r="F74" s="19">
        <f t="shared" si="9"/>
        <v>68.46288</v>
      </c>
      <c r="G74" s="19">
        <f t="shared" si="9"/>
        <v>171.1572</v>
      </c>
      <c r="H74" s="19">
        <f t="shared" si="9"/>
        <v>556.146624</v>
      </c>
      <c r="I74" s="19">
        <f t="shared" si="9"/>
        <v>753.11522</v>
      </c>
      <c r="J74" s="19">
        <f t="shared" si="9"/>
        <v>926.91104</v>
      </c>
      <c r="K74" s="19">
        <f t="shared" si="9"/>
        <v>1065.947696</v>
      </c>
      <c r="L74" s="19">
        <f t="shared" si="9"/>
        <v>1680.758996</v>
      </c>
      <c r="M74" s="19">
        <f t="shared" si="9"/>
        <v>1680.758996</v>
      </c>
      <c r="N74" s="19">
        <f t="shared" si="9"/>
        <v>1680.758996</v>
      </c>
      <c r="O74" s="19">
        <f t="shared" si="9"/>
        <v>1680.758996</v>
      </c>
      <c r="Q74" s="19">
        <f>SUMIF($D$6:$O$6,Q$6,$D74:$O74)</f>
        <v>239.62008</v>
      </c>
      <c r="R74" s="19">
        <f>SUMIF($D$6:$O$6,R$6,$D74:$O74)</f>
        <v>3302.12058</v>
      </c>
      <c r="S74" s="19">
        <f>SUMIF($D$6:$O$6,S$6,$D74:$O74)</f>
        <v>6723.035984</v>
      </c>
      <c r="T74" s="10">
        <f>SUM(Q74:S74)</f>
        <v>10264.776644</v>
      </c>
    </row>
    <row r="75" spans="1:20">
      <c r="A75" s="6" t="s">
        <v>261</v>
      </c>
      <c r="B75" s="6" t="s">
        <v>252</v>
      </c>
      <c r="D75" s="19">
        <f t="shared" ref="D75:O75" si="10">IF(D$5&gt;$C$25,INDEX($D$74:$O$74,D$5-$C$25),0)*$C$24</f>
        <v>0</v>
      </c>
      <c r="E75" s="19">
        <f t="shared" si="10"/>
        <v>0</v>
      </c>
      <c r="F75" s="19">
        <f t="shared" si="10"/>
        <v>0</v>
      </c>
      <c r="G75" s="19">
        <f t="shared" si="10"/>
        <v>0</v>
      </c>
      <c r="H75" s="19">
        <f t="shared" si="10"/>
        <v>17.11572</v>
      </c>
      <c r="I75" s="19">
        <f t="shared" si="10"/>
        <v>42.7893</v>
      </c>
      <c r="J75" s="19">
        <f t="shared" si="10"/>
        <v>139.036656</v>
      </c>
      <c r="K75" s="19">
        <f t="shared" si="10"/>
        <v>188.278805</v>
      </c>
      <c r="L75" s="19">
        <f t="shared" si="10"/>
        <v>231.72776</v>
      </c>
      <c r="M75" s="19">
        <f t="shared" si="10"/>
        <v>266.486924</v>
      </c>
      <c r="N75" s="19">
        <f t="shared" si="10"/>
        <v>420.189749</v>
      </c>
      <c r="O75" s="19">
        <f t="shared" si="10"/>
        <v>420.189749</v>
      </c>
      <c r="Q75" s="19">
        <f>SUMIF($D$6:$O$6,Q$6,$D75:$O75)</f>
        <v>0</v>
      </c>
      <c r="R75" s="19">
        <f>SUMIF($D$6:$O$6,R$6,$D75:$O75)</f>
        <v>387.220481</v>
      </c>
      <c r="S75" s="19">
        <f>SUMIF($D$6:$O$6,S$6,$D75:$O75)</f>
        <v>1338.594182</v>
      </c>
      <c r="T75" s="10">
        <f>SUM(Q75:S75)</f>
        <v>1725.814663</v>
      </c>
    </row>
    <row r="76" spans="1:20">
      <c r="A76" s="6" t="s">
        <v>262</v>
      </c>
      <c r="B76" s="6" t="s">
        <v>252</v>
      </c>
      <c r="D76" s="22">
        <f t="shared" ref="D76:O76" si="11">D75*$C$26</f>
        <v>0</v>
      </c>
      <c r="E76" s="22">
        <f t="shared" si="11"/>
        <v>0</v>
      </c>
      <c r="F76" s="22">
        <f t="shared" si="11"/>
        <v>0</v>
      </c>
      <c r="G76" s="22">
        <f t="shared" si="11"/>
        <v>0</v>
      </c>
      <c r="H76" s="22">
        <f t="shared" si="11"/>
        <v>1.3692576</v>
      </c>
      <c r="I76" s="22">
        <f t="shared" si="11"/>
        <v>3.423144</v>
      </c>
      <c r="J76" s="22">
        <f t="shared" si="11"/>
        <v>11.12293248</v>
      </c>
      <c r="K76" s="22">
        <f t="shared" si="11"/>
        <v>15.0623044</v>
      </c>
      <c r="L76" s="22">
        <f t="shared" si="11"/>
        <v>18.5382208</v>
      </c>
      <c r="M76" s="22">
        <f t="shared" si="11"/>
        <v>21.31895392</v>
      </c>
      <c r="N76" s="22">
        <f t="shared" si="11"/>
        <v>33.61517992</v>
      </c>
      <c r="O76" s="22">
        <f t="shared" si="11"/>
        <v>33.61517992</v>
      </c>
      <c r="Q76" s="22">
        <f>SUMIF($D$6:$O$6,Q$6,$D76:$O76)</f>
        <v>0</v>
      </c>
      <c r="R76" s="22">
        <f>SUMIF($D$6:$O$6,R$6,$D76:$O76)</f>
        <v>30.97763848</v>
      </c>
      <c r="S76" s="22">
        <f>SUMIF($D$6:$O$6,S$6,$D76:$O76)</f>
        <v>107.08753456</v>
      </c>
      <c r="T76" s="23">
        <f>SUM(Q76:S76)</f>
        <v>138.06517304</v>
      </c>
    </row>
    <row r="77" spans="1:20">
      <c r="A77" s="6" t="s">
        <v>263</v>
      </c>
      <c r="B77" s="6" t="s">
        <v>252</v>
      </c>
      <c r="D77" s="22">
        <f t="shared" ref="D77:O77" si="12">D76*$C$27</f>
        <v>0</v>
      </c>
      <c r="E77" s="22">
        <f t="shared" si="12"/>
        <v>0</v>
      </c>
      <c r="F77" s="22">
        <f t="shared" si="12"/>
        <v>0</v>
      </c>
      <c r="G77" s="22">
        <f t="shared" si="12"/>
        <v>0</v>
      </c>
      <c r="H77" s="22">
        <f t="shared" si="12"/>
        <v>0.246466368</v>
      </c>
      <c r="I77" s="22">
        <f t="shared" si="12"/>
        <v>0.61616592</v>
      </c>
      <c r="J77" s="22">
        <f t="shared" si="12"/>
        <v>2.0021278464</v>
      </c>
      <c r="K77" s="22">
        <f t="shared" si="12"/>
        <v>2.711214792</v>
      </c>
      <c r="L77" s="22">
        <f t="shared" si="12"/>
        <v>3.336879744</v>
      </c>
      <c r="M77" s="22">
        <f t="shared" si="12"/>
        <v>3.8374117056</v>
      </c>
      <c r="N77" s="22">
        <f t="shared" si="12"/>
        <v>6.0507323856</v>
      </c>
      <c r="O77" s="22">
        <f t="shared" si="12"/>
        <v>6.0507323856</v>
      </c>
      <c r="Q77" s="22">
        <f>SUMIF($D$6:$O$6,Q$6,$D77:$O77)</f>
        <v>0</v>
      </c>
      <c r="R77" s="22">
        <f>SUMIF($D$6:$O$6,R$6,$D77:$O77)</f>
        <v>5.5759749264</v>
      </c>
      <c r="S77" s="22">
        <f>SUMIF($D$6:$O$6,S$6,$D77:$O77)</f>
        <v>19.2757562208</v>
      </c>
      <c r="T77" s="23">
        <f>SUM(Q77:S77)</f>
        <v>24.8517311472</v>
      </c>
    </row>
    <row r="79" spans="1:20">
      <c r="A79" s="12" t="s">
        <v>264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>
      <c r="A80" s="6" t="s">
        <v>265</v>
      </c>
      <c r="B80" s="6" t="s">
        <v>113</v>
      </c>
      <c r="D80" s="19">
        <f t="shared" ref="D80:O80" si="13">$C$36*(1+$C$35)^(D$6-1)</f>
        <v>250</v>
      </c>
      <c r="E80" s="19">
        <f t="shared" si="13"/>
        <v>250</v>
      </c>
      <c r="F80" s="19">
        <f t="shared" si="13"/>
        <v>250</v>
      </c>
      <c r="G80" s="19">
        <f t="shared" si="13"/>
        <v>250</v>
      </c>
      <c r="H80" s="19">
        <f t="shared" si="13"/>
        <v>265</v>
      </c>
      <c r="I80" s="19">
        <f t="shared" si="13"/>
        <v>265</v>
      </c>
      <c r="J80" s="19">
        <f t="shared" si="13"/>
        <v>265</v>
      </c>
      <c r="K80" s="19">
        <f t="shared" si="13"/>
        <v>265</v>
      </c>
      <c r="L80" s="19">
        <f t="shared" si="13"/>
        <v>280.9</v>
      </c>
      <c r="M80" s="19">
        <f t="shared" si="13"/>
        <v>280.9</v>
      </c>
      <c r="N80" s="19">
        <f t="shared" si="13"/>
        <v>280.9</v>
      </c>
      <c r="O80" s="19">
        <f t="shared" si="13"/>
        <v>280.9</v>
      </c>
      <c r="Q80" s="19">
        <f>AVERAGEIF($D$6:$O$6,Q$6,$D80:$O80)</f>
        <v>250</v>
      </c>
      <c r="R80" s="19">
        <f>AVERAGEIF($D$6:$O$6,R$6,$D80:$O80)</f>
        <v>265</v>
      </c>
      <c r="S80" s="19">
        <f>AVERAGEIF($D$6:$O$6,S$6,$D80:$O80)</f>
        <v>280.9</v>
      </c>
    </row>
    <row r="81" spans="1:20">
      <c r="A81" s="6" t="s">
        <v>266</v>
      </c>
      <c r="B81" s="6" t="s">
        <v>252</v>
      </c>
      <c r="D81" s="22">
        <f t="shared" ref="D81:O81" si="14">D71*$C$30*$C$32</f>
        <v>0</v>
      </c>
      <c r="E81" s="22">
        <f t="shared" si="14"/>
        <v>0</v>
      </c>
      <c r="F81" s="22">
        <f t="shared" si="14"/>
        <v>14.44138875</v>
      </c>
      <c r="G81" s="22">
        <f t="shared" si="14"/>
        <v>36.103471875</v>
      </c>
      <c r="H81" s="22">
        <f t="shared" si="14"/>
        <v>117.3121785</v>
      </c>
      <c r="I81" s="22">
        <f t="shared" si="14"/>
        <v>158.86024171875</v>
      </c>
      <c r="J81" s="22">
        <f t="shared" si="14"/>
        <v>195.5202975</v>
      </c>
      <c r="K81" s="22">
        <f t="shared" si="14"/>
        <v>224.848342125</v>
      </c>
      <c r="L81" s="22">
        <f t="shared" si="14"/>
        <v>354.53510071875</v>
      </c>
      <c r="M81" s="22">
        <f t="shared" si="14"/>
        <v>354.53510071875</v>
      </c>
      <c r="N81" s="22">
        <f t="shared" si="14"/>
        <v>354.53510071875</v>
      </c>
      <c r="O81" s="22">
        <f t="shared" si="14"/>
        <v>354.53510071875</v>
      </c>
      <c r="Q81" s="22">
        <f t="shared" ref="Q81:Q86" si="15">SUMIF($D$6:$O$6,Q$6,$D81:$O81)</f>
        <v>50.544860625</v>
      </c>
      <c r="R81" s="22">
        <f t="shared" ref="R81:R86" si="16">SUMIF($D$6:$O$6,R$6,$D81:$O81)</f>
        <v>696.54105984375</v>
      </c>
      <c r="S81" s="22">
        <f t="shared" ref="S81:S86" si="17">SUMIF($D$6:$O$6,S$6,$D81:$O81)</f>
        <v>1418.140402875</v>
      </c>
      <c r="T81" s="23">
        <f t="shared" ref="T81:T86" si="18">SUM(Q81:S81)</f>
        <v>2165.22632334375</v>
      </c>
    </row>
    <row r="82" spans="1:20">
      <c r="A82" s="6" t="s">
        <v>267</v>
      </c>
      <c r="B82" s="6" t="s">
        <v>252</v>
      </c>
      <c r="D82" s="22">
        <f t="shared" ref="D82:O82" si="19">D71*$C$31</f>
        <v>0</v>
      </c>
      <c r="E82" s="22">
        <f t="shared" si="19"/>
        <v>0</v>
      </c>
      <c r="F82" s="22">
        <f t="shared" si="19"/>
        <v>1.1553111</v>
      </c>
      <c r="G82" s="22">
        <f t="shared" si="19"/>
        <v>2.88827775</v>
      </c>
      <c r="H82" s="22">
        <f t="shared" si="19"/>
        <v>9.38497428</v>
      </c>
      <c r="I82" s="22">
        <f t="shared" si="19"/>
        <v>12.7088193375</v>
      </c>
      <c r="J82" s="22">
        <f t="shared" si="19"/>
        <v>15.6416238</v>
      </c>
      <c r="K82" s="22">
        <f t="shared" si="19"/>
        <v>17.98786737</v>
      </c>
      <c r="L82" s="22">
        <f t="shared" si="19"/>
        <v>28.3628080575</v>
      </c>
      <c r="M82" s="22">
        <f t="shared" si="19"/>
        <v>28.3628080575</v>
      </c>
      <c r="N82" s="22">
        <f t="shared" si="19"/>
        <v>28.3628080575</v>
      </c>
      <c r="O82" s="22">
        <f t="shared" si="19"/>
        <v>28.3628080575</v>
      </c>
      <c r="Q82" s="22">
        <f t="shared" si="15"/>
        <v>4.04358885</v>
      </c>
      <c r="R82" s="22">
        <f t="shared" si="16"/>
        <v>55.7232847875</v>
      </c>
      <c r="S82" s="22">
        <f t="shared" si="17"/>
        <v>113.45123223</v>
      </c>
      <c r="T82" s="23">
        <f t="shared" si="18"/>
        <v>173.2181058675</v>
      </c>
    </row>
    <row r="83" spans="1:20">
      <c r="A83" s="24" t="s">
        <v>268</v>
      </c>
      <c r="B83" s="24" t="s">
        <v>252</v>
      </c>
      <c r="D83" s="25">
        <f t="shared" ref="D83:O83" si="20">D81-D82</f>
        <v>0</v>
      </c>
      <c r="E83" s="25">
        <f t="shared" si="20"/>
        <v>0</v>
      </c>
      <c r="F83" s="25">
        <f t="shared" si="20"/>
        <v>13.28607765</v>
      </c>
      <c r="G83" s="25">
        <f t="shared" si="20"/>
        <v>33.215194125</v>
      </c>
      <c r="H83" s="25">
        <f t="shared" si="20"/>
        <v>107.92720422</v>
      </c>
      <c r="I83" s="25">
        <f t="shared" si="20"/>
        <v>146.15142238125</v>
      </c>
      <c r="J83" s="25">
        <f t="shared" si="20"/>
        <v>179.8786737</v>
      </c>
      <c r="K83" s="25">
        <f t="shared" si="20"/>
        <v>206.860474755</v>
      </c>
      <c r="L83" s="25">
        <f t="shared" si="20"/>
        <v>326.17229266125</v>
      </c>
      <c r="M83" s="25">
        <f t="shared" si="20"/>
        <v>326.17229266125</v>
      </c>
      <c r="N83" s="25">
        <f t="shared" si="20"/>
        <v>326.17229266125</v>
      </c>
      <c r="O83" s="25">
        <f t="shared" si="20"/>
        <v>326.17229266125</v>
      </c>
      <c r="Q83" s="26">
        <f t="shared" si="15"/>
        <v>46.501271775</v>
      </c>
      <c r="R83" s="26">
        <f t="shared" si="16"/>
        <v>640.81777505625</v>
      </c>
      <c r="S83" s="26">
        <f t="shared" si="17"/>
        <v>1304.689170645</v>
      </c>
      <c r="T83" s="26">
        <f t="shared" si="18"/>
        <v>1992.00821747625</v>
      </c>
    </row>
    <row r="84" spans="1:20">
      <c r="A84" s="6" t="s">
        <v>269</v>
      </c>
      <c r="B84" s="6" t="s">
        <v>65</v>
      </c>
      <c r="D84" s="22">
        <f t="shared" ref="D84:O84" si="21">D83*D80/1000</f>
        <v>0</v>
      </c>
      <c r="E84" s="22">
        <f t="shared" si="21"/>
        <v>0</v>
      </c>
      <c r="F84" s="22">
        <f t="shared" si="21"/>
        <v>3.3215194125</v>
      </c>
      <c r="G84" s="22">
        <f t="shared" si="21"/>
        <v>8.30379853125</v>
      </c>
      <c r="H84" s="22">
        <f t="shared" si="21"/>
        <v>28.6007091183</v>
      </c>
      <c r="I84" s="22">
        <f t="shared" si="21"/>
        <v>38.7301269310313</v>
      </c>
      <c r="J84" s="22">
        <f t="shared" si="21"/>
        <v>47.6678485305</v>
      </c>
      <c r="K84" s="22">
        <f t="shared" si="21"/>
        <v>54.818025810075</v>
      </c>
      <c r="L84" s="22">
        <f t="shared" si="21"/>
        <v>91.6217970085452</v>
      </c>
      <c r="M84" s="22">
        <f t="shared" si="21"/>
        <v>91.6217970085452</v>
      </c>
      <c r="N84" s="22">
        <f t="shared" si="21"/>
        <v>91.6217970085452</v>
      </c>
      <c r="O84" s="22">
        <f t="shared" si="21"/>
        <v>91.6217970085452</v>
      </c>
      <c r="Q84" s="22">
        <f t="shared" si="15"/>
        <v>11.62531794375</v>
      </c>
      <c r="R84" s="22">
        <f t="shared" si="16"/>
        <v>169.816710389906</v>
      </c>
      <c r="S84" s="22">
        <f t="shared" si="17"/>
        <v>366.487188034181</v>
      </c>
      <c r="T84" s="23">
        <f t="shared" si="18"/>
        <v>547.929216367837</v>
      </c>
    </row>
    <row r="85" spans="1:20">
      <c r="A85" s="6" t="s">
        <v>270</v>
      </c>
      <c r="B85" s="6" t="s">
        <v>65</v>
      </c>
      <c r="D85" s="22">
        <f t="shared" ref="D85:O85" si="22">D77*$C$28/1000</f>
        <v>0</v>
      </c>
      <c r="E85" s="22">
        <f t="shared" si="22"/>
        <v>0</v>
      </c>
      <c r="F85" s="22">
        <f t="shared" si="22"/>
        <v>0</v>
      </c>
      <c r="G85" s="22">
        <f t="shared" si="22"/>
        <v>0</v>
      </c>
      <c r="H85" s="22">
        <f t="shared" si="22"/>
        <v>0.0492932736</v>
      </c>
      <c r="I85" s="22">
        <f t="shared" si="22"/>
        <v>0.123233184</v>
      </c>
      <c r="J85" s="22">
        <f t="shared" si="22"/>
        <v>0.40042556928</v>
      </c>
      <c r="K85" s="22">
        <f t="shared" si="22"/>
        <v>0.5422429584</v>
      </c>
      <c r="L85" s="22">
        <f t="shared" si="22"/>
        <v>0.6673759488</v>
      </c>
      <c r="M85" s="22">
        <f t="shared" si="22"/>
        <v>0.76748234112</v>
      </c>
      <c r="N85" s="22">
        <f t="shared" si="22"/>
        <v>1.21014647712</v>
      </c>
      <c r="O85" s="22">
        <f t="shared" si="22"/>
        <v>1.21014647712</v>
      </c>
      <c r="Q85" s="22">
        <f t="shared" si="15"/>
        <v>0</v>
      </c>
      <c r="R85" s="22">
        <f t="shared" si="16"/>
        <v>1.11519498528</v>
      </c>
      <c r="S85" s="22">
        <f t="shared" si="17"/>
        <v>3.85515124416</v>
      </c>
      <c r="T85" s="23">
        <f t="shared" si="18"/>
        <v>4.97034622944</v>
      </c>
    </row>
    <row r="86" spans="1:20">
      <c r="A86" s="6" t="s">
        <v>271</v>
      </c>
      <c r="B86" s="6" t="s">
        <v>65</v>
      </c>
      <c r="D86" s="22">
        <f t="shared" ref="D86:O86" si="23">D76*$C$29*D80/1000</f>
        <v>0</v>
      </c>
      <c r="E86" s="22">
        <f t="shared" si="23"/>
        <v>0</v>
      </c>
      <c r="F86" s="22">
        <f t="shared" si="23"/>
        <v>0</v>
      </c>
      <c r="G86" s="22">
        <f t="shared" si="23"/>
        <v>0</v>
      </c>
      <c r="H86" s="22">
        <f t="shared" si="23"/>
        <v>0.1088559792</v>
      </c>
      <c r="I86" s="22">
        <f t="shared" si="23"/>
        <v>0.272139948</v>
      </c>
      <c r="J86" s="22">
        <f t="shared" si="23"/>
        <v>0.88427313216</v>
      </c>
      <c r="K86" s="22">
        <f t="shared" si="23"/>
        <v>1.1974531998</v>
      </c>
      <c r="L86" s="22">
        <f t="shared" si="23"/>
        <v>1.562215866816</v>
      </c>
      <c r="M86" s="22">
        <f t="shared" si="23"/>
        <v>1.7965482468384</v>
      </c>
      <c r="N86" s="22">
        <f t="shared" si="23"/>
        <v>2.8327512118584</v>
      </c>
      <c r="O86" s="22">
        <f t="shared" si="23"/>
        <v>2.8327512118584</v>
      </c>
      <c r="Q86" s="22">
        <f t="shared" si="15"/>
        <v>0</v>
      </c>
      <c r="R86" s="22">
        <f t="shared" si="16"/>
        <v>2.46272225916</v>
      </c>
      <c r="S86" s="22">
        <f t="shared" si="17"/>
        <v>9.0242665373712</v>
      </c>
      <c r="T86" s="23">
        <f t="shared" si="18"/>
        <v>11.4869887965312</v>
      </c>
    </row>
    <row r="87" spans="1:20">
      <c r="A87" s="6" t="s">
        <v>272</v>
      </c>
      <c r="B87" s="6" t="s">
        <v>273</v>
      </c>
      <c r="D87" s="19">
        <f t="shared" ref="D87:O87" si="24">$C$18*1000*D68*$C$37*D69</f>
        <v>0</v>
      </c>
      <c r="E87" s="19">
        <f t="shared" si="24"/>
        <v>0</v>
      </c>
      <c r="F87" s="19">
        <f t="shared" si="24"/>
        <v>284.58</v>
      </c>
      <c r="G87" s="19">
        <f t="shared" si="24"/>
        <v>711.45</v>
      </c>
      <c r="H87" s="19">
        <f t="shared" si="24"/>
        <v>2019.6</v>
      </c>
      <c r="I87" s="19">
        <f t="shared" si="24"/>
        <v>2734.875</v>
      </c>
      <c r="J87" s="19">
        <f t="shared" si="24"/>
        <v>3366</v>
      </c>
      <c r="K87" s="19">
        <f t="shared" si="24"/>
        <v>3870.9</v>
      </c>
      <c r="L87" s="19">
        <f t="shared" si="24"/>
        <v>5355</v>
      </c>
      <c r="M87" s="19">
        <f t="shared" si="24"/>
        <v>5355</v>
      </c>
      <c r="N87" s="19">
        <f t="shared" si="24"/>
        <v>5355</v>
      </c>
      <c r="O87" s="19">
        <f t="shared" si="24"/>
        <v>5355</v>
      </c>
      <c r="Q87" s="19">
        <f>AVERAGEIF($D$6:$O$6,Q$6,$D87:$O87)</f>
        <v>249.0075</v>
      </c>
      <c r="R87" s="19">
        <f>AVERAGEIF($D$6:$O$6,R$6,$D87:$O87)</f>
        <v>2997.84375</v>
      </c>
      <c r="S87" s="19">
        <f>AVERAGEIF($D$6:$O$6,S$6,$D87:$O87)</f>
        <v>5355</v>
      </c>
    </row>
    <row r="88" spans="1:20">
      <c r="A88" s="6" t="s">
        <v>274</v>
      </c>
      <c r="B88" s="6" t="s">
        <v>252</v>
      </c>
      <c r="D88" s="19">
        <f t="shared" ref="D88:O88" si="25">D87*$C$38*3*$C$39</f>
        <v>0</v>
      </c>
      <c r="E88" s="19">
        <f t="shared" si="25"/>
        <v>0</v>
      </c>
      <c r="F88" s="19">
        <f t="shared" si="25"/>
        <v>6829.92</v>
      </c>
      <c r="G88" s="19">
        <f t="shared" si="25"/>
        <v>17074.8</v>
      </c>
      <c r="H88" s="19">
        <f t="shared" si="25"/>
        <v>48470.4</v>
      </c>
      <c r="I88" s="19">
        <f t="shared" si="25"/>
        <v>65637</v>
      </c>
      <c r="J88" s="19">
        <f t="shared" si="25"/>
        <v>80784</v>
      </c>
      <c r="K88" s="19">
        <f t="shared" si="25"/>
        <v>92901.6</v>
      </c>
      <c r="L88" s="19">
        <f t="shared" si="25"/>
        <v>128520</v>
      </c>
      <c r="M88" s="19">
        <f t="shared" si="25"/>
        <v>128520</v>
      </c>
      <c r="N88" s="19">
        <f t="shared" si="25"/>
        <v>128520</v>
      </c>
      <c r="O88" s="19">
        <f t="shared" si="25"/>
        <v>128520</v>
      </c>
      <c r="Q88" s="19">
        <f>SUMIF($D$6:$O$6,Q$6,$D88:$O88)</f>
        <v>23904.72</v>
      </c>
      <c r="R88" s="19">
        <f>SUMIF($D$6:$O$6,R$6,$D88:$O88)</f>
        <v>287793</v>
      </c>
      <c r="S88" s="19">
        <f>SUMIF($D$6:$O$6,S$6,$D88:$O88)</f>
        <v>514080</v>
      </c>
      <c r="T88" s="10">
        <f>SUM(Q88:S88)</f>
        <v>825777.72</v>
      </c>
    </row>
    <row r="89" spans="1:20">
      <c r="A89" s="6" t="s">
        <v>275</v>
      </c>
      <c r="B89" s="6" t="s">
        <v>65</v>
      </c>
      <c r="D89" s="22">
        <f t="shared" ref="D89:O89" si="26">D88*$C$40/1000</f>
        <v>0</v>
      </c>
      <c r="E89" s="22">
        <f t="shared" si="26"/>
        <v>0</v>
      </c>
      <c r="F89" s="22">
        <f t="shared" si="26"/>
        <v>0.5463936</v>
      </c>
      <c r="G89" s="22">
        <f t="shared" si="26"/>
        <v>1.365984</v>
      </c>
      <c r="H89" s="22">
        <f t="shared" si="26"/>
        <v>3.877632</v>
      </c>
      <c r="I89" s="22">
        <f t="shared" si="26"/>
        <v>5.25096</v>
      </c>
      <c r="J89" s="22">
        <f t="shared" si="26"/>
        <v>6.46272</v>
      </c>
      <c r="K89" s="22">
        <f t="shared" si="26"/>
        <v>7.432128</v>
      </c>
      <c r="L89" s="22">
        <f t="shared" si="26"/>
        <v>10.2816</v>
      </c>
      <c r="M89" s="22">
        <f t="shared" si="26"/>
        <v>10.2816</v>
      </c>
      <c r="N89" s="22">
        <f t="shared" si="26"/>
        <v>10.2816</v>
      </c>
      <c r="O89" s="22">
        <f t="shared" si="26"/>
        <v>10.2816</v>
      </c>
      <c r="Q89" s="22">
        <f>SUMIF($D$6:$O$6,Q$6,$D89:$O89)</f>
        <v>1.9123776</v>
      </c>
      <c r="R89" s="22">
        <f>SUMIF($D$6:$O$6,R$6,$D89:$O89)</f>
        <v>23.02344</v>
      </c>
      <c r="S89" s="22">
        <f>SUMIF($D$6:$O$6,S$6,$D89:$O89)</f>
        <v>41.1264</v>
      </c>
      <c r="T89" s="23">
        <f>SUM(Q89:S89)</f>
        <v>66.0622176</v>
      </c>
    </row>
    <row r="90" spans="1:20">
      <c r="A90" s="6" t="s">
        <v>276</v>
      </c>
      <c r="B90" s="6" t="s">
        <v>65</v>
      </c>
      <c r="D90" s="22">
        <f t="shared" ref="D90:O90" si="27">D87*$C$41/4*$C$42/1000</f>
        <v>0</v>
      </c>
      <c r="E90" s="22">
        <f t="shared" si="27"/>
        <v>0</v>
      </c>
      <c r="F90" s="22">
        <f t="shared" si="27"/>
        <v>0</v>
      </c>
      <c r="G90" s="22">
        <f t="shared" si="27"/>
        <v>0</v>
      </c>
      <c r="H90" s="22">
        <f t="shared" si="27"/>
        <v>0</v>
      </c>
      <c r="I90" s="22">
        <f t="shared" si="27"/>
        <v>0</v>
      </c>
      <c r="J90" s="22">
        <f t="shared" si="27"/>
        <v>0</v>
      </c>
      <c r="K90" s="22">
        <f t="shared" si="27"/>
        <v>0</v>
      </c>
      <c r="L90" s="22">
        <f t="shared" si="27"/>
        <v>0</v>
      </c>
      <c r="M90" s="22">
        <f t="shared" si="27"/>
        <v>0</v>
      </c>
      <c r="N90" s="22">
        <f t="shared" si="27"/>
        <v>0</v>
      </c>
      <c r="O90" s="22">
        <f t="shared" si="27"/>
        <v>0</v>
      </c>
      <c r="Q90" s="22">
        <f>SUMIF($D$6:$O$6,Q$6,$D90:$O90)</f>
        <v>0</v>
      </c>
      <c r="R90" s="22">
        <f>SUMIF($D$6:$O$6,R$6,$D90:$O90)</f>
        <v>0</v>
      </c>
      <c r="S90" s="22">
        <f>SUMIF($D$6:$O$6,S$6,$D90:$O90)</f>
        <v>0</v>
      </c>
      <c r="T90" s="23">
        <f>SUM(Q90:S90)</f>
        <v>0</v>
      </c>
    </row>
    <row r="91" spans="1:20">
      <c r="A91" s="24" t="s">
        <v>39</v>
      </c>
      <c r="B91" s="24" t="s">
        <v>65</v>
      </c>
      <c r="D91" s="25">
        <f t="shared" ref="D91:O91" si="28">D84+D85+D86+D89+D90</f>
        <v>0</v>
      </c>
      <c r="E91" s="25">
        <f t="shared" si="28"/>
        <v>0</v>
      </c>
      <c r="F91" s="25">
        <f t="shared" si="28"/>
        <v>3.8679130125</v>
      </c>
      <c r="G91" s="25">
        <f t="shared" si="28"/>
        <v>9.66978253125</v>
      </c>
      <c r="H91" s="25">
        <f t="shared" si="28"/>
        <v>32.6364903711</v>
      </c>
      <c r="I91" s="25">
        <f t="shared" si="28"/>
        <v>44.3764600630313</v>
      </c>
      <c r="J91" s="25">
        <f t="shared" si="28"/>
        <v>55.41526723194</v>
      </c>
      <c r="K91" s="25">
        <f t="shared" si="28"/>
        <v>63.989849968275</v>
      </c>
      <c r="L91" s="25">
        <f t="shared" si="28"/>
        <v>104.132988824161</v>
      </c>
      <c r="M91" s="25">
        <f t="shared" si="28"/>
        <v>104.467427596504</v>
      </c>
      <c r="N91" s="25">
        <f t="shared" si="28"/>
        <v>105.946294697524</v>
      </c>
      <c r="O91" s="25">
        <f t="shared" si="28"/>
        <v>105.946294697524</v>
      </c>
      <c r="Q91" s="26">
        <f>SUMIF($D$6:$O$6,Q$6,$D91:$O91)</f>
        <v>13.53769554375</v>
      </c>
      <c r="R91" s="26">
        <f>SUMIF($D$6:$O$6,R$6,$D91:$O91)</f>
        <v>196.418067634346</v>
      </c>
      <c r="S91" s="26">
        <f>SUMIF($D$6:$O$6,S$6,$D91:$O91)</f>
        <v>420.493005815712</v>
      </c>
      <c r="T91" s="26">
        <f>SUM(Q91:S91)</f>
        <v>630.448768993808</v>
      </c>
    </row>
    <row r="92" spans="1:20">
      <c r="A92" s="24" t="s">
        <v>277</v>
      </c>
      <c r="B92" s="24" t="s">
        <v>65</v>
      </c>
      <c r="D92" s="25">
        <f t="shared" ref="D92:O92" si="29">D91*$C$13</f>
        <v>0</v>
      </c>
      <c r="E92" s="25">
        <f t="shared" si="29"/>
        <v>0</v>
      </c>
      <c r="F92" s="25">
        <f t="shared" si="29"/>
        <v>3.287726060625</v>
      </c>
      <c r="G92" s="25">
        <f t="shared" si="29"/>
        <v>8.2193151515625</v>
      </c>
      <c r="H92" s="25">
        <f t="shared" si="29"/>
        <v>27.741016815435</v>
      </c>
      <c r="I92" s="25">
        <f t="shared" si="29"/>
        <v>37.7199910535766</v>
      </c>
      <c r="J92" s="25">
        <f t="shared" si="29"/>
        <v>47.102977147149</v>
      </c>
      <c r="K92" s="25">
        <f t="shared" si="29"/>
        <v>54.3913724730338</v>
      </c>
      <c r="L92" s="25">
        <f t="shared" si="29"/>
        <v>88.513040500537</v>
      </c>
      <c r="M92" s="25">
        <f t="shared" si="29"/>
        <v>88.797313457028</v>
      </c>
      <c r="N92" s="25">
        <f t="shared" si="29"/>
        <v>90.054350492895</v>
      </c>
      <c r="O92" s="25">
        <f t="shared" si="29"/>
        <v>90.054350492895</v>
      </c>
      <c r="Q92" s="26">
        <f>SUMIF($D$6:$O$6,Q$6,$D92:$O92)</f>
        <v>11.5070412121875</v>
      </c>
      <c r="R92" s="26">
        <f>SUMIF($D$6:$O$6,R$6,$D92:$O92)</f>
        <v>166.955357489194</v>
      </c>
      <c r="S92" s="26">
        <f>SUMIF($D$6:$O$6,S$6,$D92:$O92)</f>
        <v>357.419054943355</v>
      </c>
      <c r="T92" s="26">
        <f>SUM(Q92:S92)</f>
        <v>535.881453644737</v>
      </c>
    </row>
    <row r="94" spans="1:20">
      <c r="A94" s="12" t="s">
        <v>278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>
      <c r="A95" s="6" t="s">
        <v>279</v>
      </c>
      <c r="B95" s="6" t="s">
        <v>153</v>
      </c>
      <c r="D95" s="27">
        <f t="shared" ref="D95:O95" si="30">INDEX($C$43:$C$45,D$6)</f>
        <v>12.75</v>
      </c>
      <c r="E95" s="27">
        <f t="shared" si="30"/>
        <v>12.75</v>
      </c>
      <c r="F95" s="27">
        <f t="shared" si="30"/>
        <v>12.75</v>
      </c>
      <c r="G95" s="27">
        <f t="shared" si="30"/>
        <v>12.75</v>
      </c>
      <c r="H95" s="27">
        <f t="shared" si="30"/>
        <v>16.15</v>
      </c>
      <c r="I95" s="27">
        <f t="shared" si="30"/>
        <v>16.15</v>
      </c>
      <c r="J95" s="27">
        <f t="shared" si="30"/>
        <v>16.15</v>
      </c>
      <c r="K95" s="27">
        <f t="shared" si="30"/>
        <v>16.15</v>
      </c>
      <c r="L95" s="27">
        <f t="shared" si="30"/>
        <v>17</v>
      </c>
      <c r="M95" s="27">
        <f t="shared" si="30"/>
        <v>17</v>
      </c>
      <c r="N95" s="27">
        <f t="shared" si="30"/>
        <v>17</v>
      </c>
      <c r="O95" s="27">
        <f t="shared" si="30"/>
        <v>17</v>
      </c>
      <c r="Q95" s="27">
        <f>AVERAGEIF($D$6:$O$6,Q$6,$D95:$O95)</f>
        <v>12.75</v>
      </c>
      <c r="R95" s="27">
        <f>AVERAGEIF($D$6:$O$6,R$6,$D95:$O95)</f>
        <v>16.15</v>
      </c>
      <c r="S95" s="27">
        <f>AVERAGEIF($D$6:$O$6,S$6,$D95:$O95)</f>
        <v>17</v>
      </c>
    </row>
    <row r="96" spans="1:20">
      <c r="A96" s="6" t="s">
        <v>280</v>
      </c>
      <c r="B96" s="6" t="s">
        <v>65</v>
      </c>
      <c r="D96" s="22">
        <f t="shared" ref="D96:O96" si="31">D95*$C$46*3*(1+$C$47)^(D$6-1)/1000</f>
        <v>17.2125</v>
      </c>
      <c r="E96" s="22">
        <f t="shared" si="31"/>
        <v>17.2125</v>
      </c>
      <c r="F96" s="22">
        <f t="shared" si="31"/>
        <v>17.2125</v>
      </c>
      <c r="G96" s="22">
        <f t="shared" si="31"/>
        <v>17.2125</v>
      </c>
      <c r="H96" s="22">
        <f t="shared" si="31"/>
        <v>23.5467</v>
      </c>
      <c r="I96" s="22">
        <f t="shared" si="31"/>
        <v>23.5467</v>
      </c>
      <c r="J96" s="22">
        <f t="shared" si="31"/>
        <v>23.5467</v>
      </c>
      <c r="K96" s="22">
        <f t="shared" si="31"/>
        <v>23.5467</v>
      </c>
      <c r="L96" s="22">
        <f t="shared" si="31"/>
        <v>26.76888</v>
      </c>
      <c r="M96" s="22">
        <f t="shared" si="31"/>
        <v>26.76888</v>
      </c>
      <c r="N96" s="22">
        <f t="shared" si="31"/>
        <v>26.76888</v>
      </c>
      <c r="O96" s="22">
        <f t="shared" si="31"/>
        <v>26.76888</v>
      </c>
      <c r="Q96" s="22">
        <f t="shared" ref="Q96:Q105" si="32">SUMIF($D$6:$O$6,Q$6,$D96:$O96)</f>
        <v>68.85</v>
      </c>
      <c r="R96" s="22">
        <f t="shared" ref="R96:R105" si="33">SUMIF($D$6:$O$6,R$6,$D96:$O96)</f>
        <v>94.1868</v>
      </c>
      <c r="S96" s="22">
        <f t="shared" ref="S96:S105" si="34">SUMIF($D$6:$O$6,S$6,$D96:$O96)</f>
        <v>107.07552</v>
      </c>
      <c r="T96" s="23">
        <f t="shared" ref="T96:T105" si="35">SUM(Q96:S96)</f>
        <v>270.11232</v>
      </c>
    </row>
    <row r="97" spans="1:20">
      <c r="A97" s="6" t="s">
        <v>281</v>
      </c>
      <c r="B97" s="6" t="s">
        <v>252</v>
      </c>
      <c r="D97" s="19">
        <f t="shared" ref="D97:O97" si="36">D74*(1+$C$48)</f>
        <v>0</v>
      </c>
      <c r="E97" s="19">
        <f t="shared" si="36"/>
        <v>0</v>
      </c>
      <c r="F97" s="19">
        <f t="shared" si="36"/>
        <v>205.38864</v>
      </c>
      <c r="G97" s="19">
        <f t="shared" si="36"/>
        <v>513.4716</v>
      </c>
      <c r="H97" s="19">
        <f t="shared" si="36"/>
        <v>1668.439872</v>
      </c>
      <c r="I97" s="19">
        <f t="shared" si="36"/>
        <v>2259.34566</v>
      </c>
      <c r="J97" s="19">
        <f t="shared" si="36"/>
        <v>2780.73312</v>
      </c>
      <c r="K97" s="19">
        <f t="shared" si="36"/>
        <v>3197.843088</v>
      </c>
      <c r="L97" s="19">
        <f t="shared" si="36"/>
        <v>5042.276988</v>
      </c>
      <c r="M97" s="19">
        <f t="shared" si="36"/>
        <v>5042.276988</v>
      </c>
      <c r="N97" s="19">
        <f t="shared" si="36"/>
        <v>5042.276988</v>
      </c>
      <c r="O97" s="19">
        <f t="shared" si="36"/>
        <v>5042.276988</v>
      </c>
      <c r="Q97" s="19">
        <f t="shared" si="32"/>
        <v>718.86024</v>
      </c>
      <c r="R97" s="19">
        <f t="shared" si="33"/>
        <v>9906.36174</v>
      </c>
      <c r="S97" s="19">
        <f t="shared" si="34"/>
        <v>20169.107952</v>
      </c>
      <c r="T97" s="10">
        <f t="shared" si="35"/>
        <v>30794.329932</v>
      </c>
    </row>
    <row r="98" spans="1:20">
      <c r="A98" s="6" t="s">
        <v>282</v>
      </c>
      <c r="B98" s="6" t="s">
        <v>65</v>
      </c>
      <c r="D98" s="22">
        <f t="shared" ref="D98:O98" si="37">D97*$C$49/1000</f>
        <v>0</v>
      </c>
      <c r="E98" s="22">
        <f t="shared" si="37"/>
        <v>0</v>
      </c>
      <c r="F98" s="22">
        <f t="shared" si="37"/>
        <v>0.20538864</v>
      </c>
      <c r="G98" s="22">
        <f t="shared" si="37"/>
        <v>0.5134716</v>
      </c>
      <c r="H98" s="22">
        <f t="shared" si="37"/>
        <v>1.668439872</v>
      </c>
      <c r="I98" s="22">
        <f t="shared" si="37"/>
        <v>2.25934566</v>
      </c>
      <c r="J98" s="22">
        <f t="shared" si="37"/>
        <v>2.78073312</v>
      </c>
      <c r="K98" s="22">
        <f t="shared" si="37"/>
        <v>3.197843088</v>
      </c>
      <c r="L98" s="22">
        <f t="shared" si="37"/>
        <v>5.042276988</v>
      </c>
      <c r="M98" s="22">
        <f t="shared" si="37"/>
        <v>5.042276988</v>
      </c>
      <c r="N98" s="22">
        <f t="shared" si="37"/>
        <v>5.042276988</v>
      </c>
      <c r="O98" s="22">
        <f t="shared" si="37"/>
        <v>5.042276988</v>
      </c>
      <c r="Q98" s="22">
        <f t="shared" si="32"/>
        <v>0.71886024</v>
      </c>
      <c r="R98" s="22">
        <f t="shared" si="33"/>
        <v>9.90636174</v>
      </c>
      <c r="S98" s="22">
        <f t="shared" si="34"/>
        <v>20.169107952</v>
      </c>
      <c r="T98" s="23">
        <f t="shared" si="35"/>
        <v>30.794329932</v>
      </c>
    </row>
    <row r="99" spans="1:20">
      <c r="A99" s="6" t="s">
        <v>283</v>
      </c>
      <c r="B99" s="6" t="s">
        <v>65</v>
      </c>
      <c r="D99" s="22">
        <f t="shared" ref="D99:O99" si="38">D97*$C$50*$C$51/1000</f>
        <v>0</v>
      </c>
      <c r="E99" s="22">
        <f t="shared" si="38"/>
        <v>0</v>
      </c>
      <c r="F99" s="22">
        <f t="shared" si="38"/>
        <v>0.164310912</v>
      </c>
      <c r="G99" s="22">
        <f t="shared" si="38"/>
        <v>0.41077728</v>
      </c>
      <c r="H99" s="22">
        <f t="shared" si="38"/>
        <v>1.3347518976</v>
      </c>
      <c r="I99" s="22">
        <f t="shared" si="38"/>
        <v>1.807476528</v>
      </c>
      <c r="J99" s="22">
        <f t="shared" si="38"/>
        <v>2.224586496</v>
      </c>
      <c r="K99" s="22">
        <f t="shared" si="38"/>
        <v>2.5582744704</v>
      </c>
      <c r="L99" s="22">
        <f t="shared" si="38"/>
        <v>4.0338215904</v>
      </c>
      <c r="M99" s="22">
        <f t="shared" si="38"/>
        <v>4.0338215904</v>
      </c>
      <c r="N99" s="22">
        <f t="shared" si="38"/>
        <v>4.0338215904</v>
      </c>
      <c r="O99" s="22">
        <f t="shared" si="38"/>
        <v>4.0338215904</v>
      </c>
      <c r="Q99" s="22">
        <f t="shared" si="32"/>
        <v>0.575088192</v>
      </c>
      <c r="R99" s="22">
        <f t="shared" si="33"/>
        <v>7.925089392</v>
      </c>
      <c r="S99" s="22">
        <f t="shared" si="34"/>
        <v>16.1352863616</v>
      </c>
      <c r="T99" s="23">
        <f t="shared" si="35"/>
        <v>24.6354639456</v>
      </c>
    </row>
    <row r="100" spans="1:20">
      <c r="A100" s="6" t="s">
        <v>284</v>
      </c>
      <c r="B100" s="6" t="s">
        <v>65</v>
      </c>
      <c r="D100" s="22">
        <f t="shared" ref="D100:O100" si="39">D74*$C$52/1000+IF(D$5&gt;=$C$54,$C$53,0)</f>
        <v>0</v>
      </c>
      <c r="E100" s="22">
        <f t="shared" si="39"/>
        <v>2.5</v>
      </c>
      <c r="F100" s="22">
        <f t="shared" si="39"/>
        <v>2.63692576</v>
      </c>
      <c r="G100" s="22">
        <f t="shared" si="39"/>
        <v>2.8423144</v>
      </c>
      <c r="H100" s="22">
        <f t="shared" si="39"/>
        <v>3.612293248</v>
      </c>
      <c r="I100" s="22">
        <f t="shared" si="39"/>
        <v>4.00623044</v>
      </c>
      <c r="J100" s="22">
        <f t="shared" si="39"/>
        <v>4.35382208</v>
      </c>
      <c r="K100" s="22">
        <f t="shared" si="39"/>
        <v>4.631895392</v>
      </c>
      <c r="L100" s="22">
        <f t="shared" si="39"/>
        <v>5.861517992</v>
      </c>
      <c r="M100" s="22">
        <f t="shared" si="39"/>
        <v>5.861517992</v>
      </c>
      <c r="N100" s="22">
        <f t="shared" si="39"/>
        <v>5.861517992</v>
      </c>
      <c r="O100" s="22">
        <f t="shared" si="39"/>
        <v>5.861517992</v>
      </c>
      <c r="Q100" s="22">
        <f t="shared" si="32"/>
        <v>7.97924016</v>
      </c>
      <c r="R100" s="22">
        <f t="shared" si="33"/>
        <v>16.60424116</v>
      </c>
      <c r="S100" s="22">
        <f t="shared" si="34"/>
        <v>23.446071968</v>
      </c>
      <c r="T100" s="23">
        <f t="shared" si="35"/>
        <v>48.029553288</v>
      </c>
    </row>
    <row r="101" spans="1:20">
      <c r="A101" s="6" t="s">
        <v>285</v>
      </c>
      <c r="B101" s="6" t="s">
        <v>65</v>
      </c>
      <c r="D101" s="22">
        <f t="shared" ref="D101:O101" si="40">MIN(D74*$C$55*$C$56/1000,$C$57/4)</f>
        <v>0</v>
      </c>
      <c r="E101" s="22">
        <f t="shared" si="40"/>
        <v>0</v>
      </c>
      <c r="F101" s="22">
        <f t="shared" si="40"/>
        <v>0.855786</v>
      </c>
      <c r="G101" s="22">
        <f t="shared" si="40"/>
        <v>2.139465</v>
      </c>
      <c r="H101" s="22">
        <f t="shared" si="40"/>
        <v>6.9518328</v>
      </c>
      <c r="I101" s="22">
        <f t="shared" si="40"/>
        <v>9.41394025</v>
      </c>
      <c r="J101" s="22">
        <f t="shared" si="40"/>
        <v>11.586388</v>
      </c>
      <c r="K101" s="22">
        <f t="shared" si="40"/>
        <v>13.3243462</v>
      </c>
      <c r="L101" s="22">
        <f t="shared" si="40"/>
        <v>21.00948745</v>
      </c>
      <c r="M101" s="22">
        <f t="shared" si="40"/>
        <v>21.00948745</v>
      </c>
      <c r="N101" s="22">
        <f t="shared" si="40"/>
        <v>21.00948745</v>
      </c>
      <c r="O101" s="22">
        <f t="shared" si="40"/>
        <v>21.00948745</v>
      </c>
      <c r="Q101" s="22">
        <f t="shared" si="32"/>
        <v>2.995251</v>
      </c>
      <c r="R101" s="22">
        <f t="shared" si="33"/>
        <v>41.27650725</v>
      </c>
      <c r="S101" s="22">
        <f t="shared" si="34"/>
        <v>84.0379498</v>
      </c>
      <c r="T101" s="23">
        <f t="shared" si="35"/>
        <v>128.30970805</v>
      </c>
    </row>
    <row r="102" spans="1:20">
      <c r="A102" s="6" t="s">
        <v>286</v>
      </c>
      <c r="B102" s="6" t="s">
        <v>65</v>
      </c>
      <c r="D102" s="22">
        <f t="shared" ref="D102:O102" si="41">IF(AND(D$5&gt;=$C$60,D$5&lt;=$C$61),$C$59/($C$61-$C$60+1),0)+IF(D$5&gt;$C$61,$C$62,0)</f>
        <v>0</v>
      </c>
      <c r="E102" s="22">
        <f t="shared" si="41"/>
        <v>0</v>
      </c>
      <c r="F102" s="22">
        <f t="shared" si="41"/>
        <v>25</v>
      </c>
      <c r="G102" s="22">
        <f t="shared" si="41"/>
        <v>25</v>
      </c>
      <c r="H102" s="22">
        <f t="shared" si="41"/>
        <v>4</v>
      </c>
      <c r="I102" s="22">
        <f t="shared" si="41"/>
        <v>4</v>
      </c>
      <c r="J102" s="22">
        <f t="shared" si="41"/>
        <v>4</v>
      </c>
      <c r="K102" s="22">
        <f t="shared" si="41"/>
        <v>4</v>
      </c>
      <c r="L102" s="22">
        <f t="shared" si="41"/>
        <v>4</v>
      </c>
      <c r="M102" s="22">
        <f t="shared" si="41"/>
        <v>4</v>
      </c>
      <c r="N102" s="22">
        <f t="shared" si="41"/>
        <v>4</v>
      </c>
      <c r="O102" s="22">
        <f t="shared" si="41"/>
        <v>4</v>
      </c>
      <c r="Q102" s="22">
        <f t="shared" si="32"/>
        <v>50</v>
      </c>
      <c r="R102" s="22">
        <f t="shared" si="33"/>
        <v>16</v>
      </c>
      <c r="S102" s="22">
        <f t="shared" si="34"/>
        <v>16</v>
      </c>
      <c r="T102" s="23">
        <f t="shared" si="35"/>
        <v>82</v>
      </c>
    </row>
    <row r="103" spans="1:20">
      <c r="A103" s="6" t="s">
        <v>287</v>
      </c>
      <c r="B103" s="6" t="s">
        <v>65</v>
      </c>
      <c r="D103" s="22">
        <f t="shared" ref="D103:O103" si="42">D96+D98+D99+D100+D101+D102</f>
        <v>17.2125</v>
      </c>
      <c r="E103" s="22">
        <f t="shared" si="42"/>
        <v>19.7125</v>
      </c>
      <c r="F103" s="22">
        <f t="shared" si="42"/>
        <v>46.074911312</v>
      </c>
      <c r="G103" s="22">
        <f t="shared" si="42"/>
        <v>48.11852828</v>
      </c>
      <c r="H103" s="22">
        <f t="shared" si="42"/>
        <v>41.1140178176</v>
      </c>
      <c r="I103" s="22">
        <f t="shared" si="42"/>
        <v>45.033692878</v>
      </c>
      <c r="J103" s="22">
        <f t="shared" si="42"/>
        <v>48.492229696</v>
      </c>
      <c r="K103" s="22">
        <f t="shared" si="42"/>
        <v>51.2590591504</v>
      </c>
      <c r="L103" s="22">
        <f t="shared" si="42"/>
        <v>66.7159840204</v>
      </c>
      <c r="M103" s="22">
        <f t="shared" si="42"/>
        <v>66.7159840204</v>
      </c>
      <c r="N103" s="22">
        <f t="shared" si="42"/>
        <v>66.7159840204</v>
      </c>
      <c r="O103" s="22">
        <f t="shared" si="42"/>
        <v>66.7159840204</v>
      </c>
      <c r="Q103" s="22">
        <f t="shared" si="32"/>
        <v>131.118439592</v>
      </c>
      <c r="R103" s="22">
        <f t="shared" si="33"/>
        <v>185.898999542</v>
      </c>
      <c r="S103" s="22">
        <f t="shared" si="34"/>
        <v>266.8639360816</v>
      </c>
      <c r="T103" s="23">
        <f t="shared" si="35"/>
        <v>583.8813752156</v>
      </c>
    </row>
    <row r="104" spans="1:20">
      <c r="A104" s="6" t="s">
        <v>288</v>
      </c>
      <c r="B104" s="6" t="s">
        <v>65</v>
      </c>
      <c r="D104" s="22">
        <f t="shared" ref="D104:O104" si="43">D103*$C$58</f>
        <v>1.72125</v>
      </c>
      <c r="E104" s="22">
        <f t="shared" si="43"/>
        <v>1.97125</v>
      </c>
      <c r="F104" s="22">
        <f t="shared" si="43"/>
        <v>4.6074911312</v>
      </c>
      <c r="G104" s="22">
        <f t="shared" si="43"/>
        <v>4.811852828</v>
      </c>
      <c r="H104" s="22">
        <f t="shared" si="43"/>
        <v>4.11140178176</v>
      </c>
      <c r="I104" s="22">
        <f t="shared" si="43"/>
        <v>4.5033692878</v>
      </c>
      <c r="J104" s="22">
        <f t="shared" si="43"/>
        <v>4.8492229696</v>
      </c>
      <c r="K104" s="22">
        <f t="shared" si="43"/>
        <v>5.12590591504</v>
      </c>
      <c r="L104" s="22">
        <f t="shared" si="43"/>
        <v>6.67159840204</v>
      </c>
      <c r="M104" s="22">
        <f t="shared" si="43"/>
        <v>6.67159840204</v>
      </c>
      <c r="N104" s="22">
        <f t="shared" si="43"/>
        <v>6.67159840204</v>
      </c>
      <c r="O104" s="22">
        <f t="shared" si="43"/>
        <v>6.67159840204</v>
      </c>
      <c r="Q104" s="22">
        <f t="shared" si="32"/>
        <v>13.1118439592</v>
      </c>
      <c r="R104" s="22">
        <f t="shared" si="33"/>
        <v>18.5898999542</v>
      </c>
      <c r="S104" s="22">
        <f t="shared" si="34"/>
        <v>26.68639360816</v>
      </c>
      <c r="T104" s="23">
        <f t="shared" si="35"/>
        <v>58.38813752156</v>
      </c>
    </row>
    <row r="105" spans="1:20">
      <c r="A105" s="24" t="s">
        <v>47</v>
      </c>
      <c r="B105" s="24" t="s">
        <v>65</v>
      </c>
      <c r="D105" s="25">
        <f t="shared" ref="D105:O105" si="44">D103+D104</f>
        <v>18.93375</v>
      </c>
      <c r="E105" s="25">
        <f t="shared" si="44"/>
        <v>21.68375</v>
      </c>
      <c r="F105" s="25">
        <f t="shared" si="44"/>
        <v>50.6824024432</v>
      </c>
      <c r="G105" s="25">
        <f t="shared" si="44"/>
        <v>52.930381108</v>
      </c>
      <c r="H105" s="25">
        <f t="shared" si="44"/>
        <v>45.22541959936</v>
      </c>
      <c r="I105" s="25">
        <f t="shared" si="44"/>
        <v>49.5370621658</v>
      </c>
      <c r="J105" s="25">
        <f t="shared" si="44"/>
        <v>53.3414526656</v>
      </c>
      <c r="K105" s="25">
        <f t="shared" si="44"/>
        <v>56.38496506544</v>
      </c>
      <c r="L105" s="25">
        <f t="shared" si="44"/>
        <v>73.38758242244</v>
      </c>
      <c r="M105" s="25">
        <f t="shared" si="44"/>
        <v>73.38758242244</v>
      </c>
      <c r="N105" s="25">
        <f t="shared" si="44"/>
        <v>73.38758242244</v>
      </c>
      <c r="O105" s="25">
        <f t="shared" si="44"/>
        <v>73.38758242244</v>
      </c>
      <c r="Q105" s="26">
        <f t="shared" si="32"/>
        <v>144.2302835512</v>
      </c>
      <c r="R105" s="26">
        <f t="shared" si="33"/>
        <v>204.4888994962</v>
      </c>
      <c r="S105" s="26">
        <f t="shared" si="34"/>
        <v>293.55032968976</v>
      </c>
      <c r="T105" s="26">
        <f t="shared" si="35"/>
        <v>642.26951273716</v>
      </c>
    </row>
    <row r="107" spans="1:20">
      <c r="A107" s="12" t="s">
        <v>289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>
      <c r="A108" s="24" t="s">
        <v>48</v>
      </c>
      <c r="B108" s="24" t="s">
        <v>65</v>
      </c>
      <c r="D108" s="25">
        <f t="shared" ref="D108:O108" si="45">D92-D105</f>
        <v>-18.93375</v>
      </c>
      <c r="E108" s="25">
        <f t="shared" si="45"/>
        <v>-21.68375</v>
      </c>
      <c r="F108" s="25">
        <f t="shared" si="45"/>
        <v>-47.394676382575</v>
      </c>
      <c r="G108" s="25">
        <f t="shared" si="45"/>
        <v>-44.7110659564375</v>
      </c>
      <c r="H108" s="25">
        <f t="shared" si="45"/>
        <v>-17.484402783925</v>
      </c>
      <c r="I108" s="25">
        <f t="shared" si="45"/>
        <v>-11.8170711122234</v>
      </c>
      <c r="J108" s="25">
        <f t="shared" si="45"/>
        <v>-6.23847551845098</v>
      </c>
      <c r="K108" s="25">
        <f t="shared" si="45"/>
        <v>-1.99359259240624</v>
      </c>
      <c r="L108" s="25">
        <f t="shared" si="45"/>
        <v>15.125458078097</v>
      </c>
      <c r="M108" s="25">
        <f t="shared" si="45"/>
        <v>15.409731034588</v>
      </c>
      <c r="N108" s="25">
        <f t="shared" si="45"/>
        <v>16.666768070455</v>
      </c>
      <c r="O108" s="25">
        <f t="shared" si="45"/>
        <v>16.666768070455</v>
      </c>
      <c r="Q108" s="26">
        <f>SUMIF($D$6:$O$6,Q$6,$D108:$O108)</f>
        <v>-132.723242339013</v>
      </c>
      <c r="R108" s="26">
        <f>SUMIF($D$6:$O$6,R$6,$D108:$O108)</f>
        <v>-37.5335420070057</v>
      </c>
      <c r="S108" s="26">
        <f>SUMIF($D$6:$O$6,S$6,$D108:$O108)</f>
        <v>63.868725253595</v>
      </c>
      <c r="T108" s="26">
        <f>SUM(Q108:S108)</f>
        <v>-106.388059092423</v>
      </c>
    </row>
    <row r="109" spans="1:20">
      <c r="A109" s="24" t="s">
        <v>290</v>
      </c>
      <c r="B109" s="24" t="s">
        <v>65</v>
      </c>
      <c r="D109" s="25">
        <f>SUM($D108:D108)</f>
        <v>-18.93375</v>
      </c>
      <c r="E109" s="25">
        <f>SUM($D108:E108)</f>
        <v>-40.6175</v>
      </c>
      <c r="F109" s="25">
        <f>SUM($D108:F108)</f>
        <v>-88.012176382575</v>
      </c>
      <c r="G109" s="25">
        <f>SUM($D108:G108)</f>
        <v>-132.723242339013</v>
      </c>
      <c r="H109" s="25">
        <f>SUM($D108:H108)</f>
        <v>-150.207645122937</v>
      </c>
      <c r="I109" s="25">
        <f>SUM($D108:I108)</f>
        <v>-162.024716235161</v>
      </c>
      <c r="J109" s="25">
        <f>SUM($D108:J108)</f>
        <v>-168.263191753612</v>
      </c>
      <c r="K109" s="25">
        <f>SUM($D108:K108)</f>
        <v>-170.256784346018</v>
      </c>
      <c r="L109" s="25">
        <f>SUM($D108:L108)</f>
        <v>-155.131326267921</v>
      </c>
      <c r="M109" s="25">
        <f>SUM($D108:M108)</f>
        <v>-139.721595233333</v>
      </c>
      <c r="N109" s="25">
        <f>SUM($D108:N108)</f>
        <v>-123.054827162878</v>
      </c>
      <c r="O109" s="25">
        <f>SUM($D108:O108)</f>
        <v>-106.388059092423</v>
      </c>
    </row>
    <row r="110" spans="1:20">
      <c r="A110" s="6" t="s">
        <v>291</v>
      </c>
      <c r="B110" s="6" t="s">
        <v>165</v>
      </c>
      <c r="D110" s="28">
        <f t="shared" ref="D110:O110" si="46">1/(1+$C$12)^(D$5/4)</f>
        <v>0.965662885400652</v>
      </c>
      <c r="E110" s="28">
        <f t="shared" si="46"/>
        <v>0.932504808240314</v>
      </c>
      <c r="F110" s="28">
        <f t="shared" si="46"/>
        <v>0.900485283775324</v>
      </c>
      <c r="G110" s="28">
        <f t="shared" si="46"/>
        <v>0.869565217391304</v>
      </c>
      <c r="H110" s="28">
        <f t="shared" si="46"/>
        <v>0.839706856870133</v>
      </c>
      <c r="I110" s="28">
        <f t="shared" si="46"/>
        <v>0.810873746295925</v>
      </c>
      <c r="J110" s="28">
        <f t="shared" si="46"/>
        <v>0.78303068154376</v>
      </c>
      <c r="K110" s="28">
        <f t="shared" si="46"/>
        <v>0.756143667296787</v>
      </c>
      <c r="L110" s="28">
        <f t="shared" si="46"/>
        <v>0.730179875539246</v>
      </c>
      <c r="M110" s="28">
        <f t="shared" si="46"/>
        <v>0.705107605474718</v>
      </c>
      <c r="N110" s="28">
        <f t="shared" si="46"/>
        <v>0.680896244820661</v>
      </c>
      <c r="O110" s="28">
        <f t="shared" si="46"/>
        <v>0.657516232431988</v>
      </c>
    </row>
    <row r="111" spans="1:20">
      <c r="A111" s="6" t="s">
        <v>292</v>
      </c>
      <c r="B111" s="6" t="s">
        <v>65</v>
      </c>
      <c r="D111" s="22">
        <f t="shared" ref="D111:O111" si="47">D108*D110</f>
        <v>-18.2836196564546</v>
      </c>
      <c r="E111" s="22">
        <f t="shared" si="47"/>
        <v>-20.2202011356809</v>
      </c>
      <c r="F111" s="22">
        <f t="shared" si="47"/>
        <v>-42.6782086118027</v>
      </c>
      <c r="G111" s="22">
        <f t="shared" si="47"/>
        <v>-38.8791877882065</v>
      </c>
      <c r="H111" s="22">
        <f t="shared" si="47"/>
        <v>-14.6817729059411</v>
      </c>
      <c r="I111" s="22">
        <f t="shared" si="47"/>
        <v>-9.58215272301396</v>
      </c>
      <c r="J111" s="22">
        <f t="shared" si="47"/>
        <v>-4.88491773700673</v>
      </c>
      <c r="K111" s="22">
        <f t="shared" si="47"/>
        <v>-1.50744241391777</v>
      </c>
      <c r="L111" s="22">
        <f t="shared" si="47"/>
        <v>11.0443050969389</v>
      </c>
      <c r="M111" s="22">
        <f t="shared" si="47"/>
        <v>10.8655185508078</v>
      </c>
      <c r="N111" s="22">
        <f t="shared" si="47"/>
        <v>11.3483397924697</v>
      </c>
      <c r="O111" s="22">
        <f t="shared" si="47"/>
        <v>10.9586705485033</v>
      </c>
      <c r="Q111" s="22">
        <f>SUMIF($D$6:$O$6,Q$6,$D111:$O111)</f>
        <v>-120.061217192145</v>
      </c>
      <c r="R111" s="22">
        <f>SUMIF($D$6:$O$6,R$6,$D111:$O111)</f>
        <v>-30.6562857798795</v>
      </c>
      <c r="S111" s="22">
        <f>SUMIF($D$6:$O$6,S$6,$D111:$O111)</f>
        <v>44.2168339887198</v>
      </c>
      <c r="T111" s="23">
        <f>SUM(Q111:S111)</f>
        <v>-106.500668983304</v>
      </c>
    </row>
    <row r="112" spans="1:20">
      <c r="A112" s="24" t="s">
        <v>293</v>
      </c>
      <c r="B112" s="24" t="s">
        <v>65</v>
      </c>
      <c r="D112" s="25">
        <f>SUM($D111:D111)</f>
        <v>-18.2836196564546</v>
      </c>
      <c r="E112" s="25">
        <f>SUM($D111:E111)</f>
        <v>-38.5038207921355</v>
      </c>
      <c r="F112" s="25">
        <f>SUM($D111:F111)</f>
        <v>-81.1820294039382</v>
      </c>
      <c r="G112" s="25">
        <f>SUM($D111:G111)</f>
        <v>-120.061217192145</v>
      </c>
      <c r="H112" s="25">
        <f>SUM($D111:H111)</f>
        <v>-134.742990098086</v>
      </c>
      <c r="I112" s="25">
        <f>SUM($D111:I111)</f>
        <v>-144.3251428211</v>
      </c>
      <c r="J112" s="25">
        <f>SUM($D111:J111)</f>
        <v>-149.210060558106</v>
      </c>
      <c r="K112" s="25">
        <f>SUM($D111:K111)</f>
        <v>-150.717502972024</v>
      </c>
      <c r="L112" s="25">
        <f>SUM($D111:L111)</f>
        <v>-139.673197875085</v>
      </c>
      <c r="M112" s="25">
        <f>SUM($D111:M111)</f>
        <v>-128.807679324278</v>
      </c>
      <c r="N112" s="25">
        <f>SUM($D111:N111)</f>
        <v>-117.459339531808</v>
      </c>
      <c r="O112" s="25">
        <f>SUM($D111:O111)</f>
        <v>-106.500668983304</v>
      </c>
    </row>
    <row r="113" spans="1:20">
      <c r="A113" s="6" t="s">
        <v>294</v>
      </c>
      <c r="B113" s="6" t="s">
        <v>295</v>
      </c>
      <c r="D113" s="19">
        <f t="shared" ref="D113:O113" si="48">IF(D112&gt;=0,1,0)</f>
        <v>0</v>
      </c>
      <c r="E113" s="19">
        <f t="shared" si="48"/>
        <v>0</v>
      </c>
      <c r="F113" s="19">
        <f t="shared" si="48"/>
        <v>0</v>
      </c>
      <c r="G113" s="19">
        <f t="shared" si="48"/>
        <v>0</v>
      </c>
      <c r="H113" s="19">
        <f t="shared" si="48"/>
        <v>0</v>
      </c>
      <c r="I113" s="19">
        <f t="shared" si="48"/>
        <v>0</v>
      </c>
      <c r="J113" s="19">
        <f t="shared" si="48"/>
        <v>0</v>
      </c>
      <c r="K113" s="19">
        <f t="shared" si="48"/>
        <v>0</v>
      </c>
      <c r="L113" s="19">
        <f t="shared" si="48"/>
        <v>0</v>
      </c>
      <c r="M113" s="19">
        <f t="shared" si="48"/>
        <v>0</v>
      </c>
      <c r="N113" s="19">
        <f t="shared" si="48"/>
        <v>0</v>
      </c>
      <c r="O113" s="19">
        <f t="shared" si="48"/>
        <v>0</v>
      </c>
    </row>
    <row r="114" spans="1:20">
      <c r="A114" s="6" t="s">
        <v>296</v>
      </c>
      <c r="B114" s="6" t="s">
        <v>295</v>
      </c>
      <c r="D114" s="19">
        <f t="shared" ref="D114:O114" si="49">IF(D109&gt;=0,1,0)</f>
        <v>0</v>
      </c>
      <c r="E114" s="19">
        <f t="shared" si="49"/>
        <v>0</v>
      </c>
      <c r="F114" s="19">
        <f t="shared" si="49"/>
        <v>0</v>
      </c>
      <c r="G114" s="19">
        <f t="shared" si="49"/>
        <v>0</v>
      </c>
      <c r="H114" s="19">
        <f t="shared" si="49"/>
        <v>0</v>
      </c>
      <c r="I114" s="19">
        <f t="shared" si="49"/>
        <v>0</v>
      </c>
      <c r="J114" s="19">
        <f t="shared" si="49"/>
        <v>0</v>
      </c>
      <c r="K114" s="19">
        <f t="shared" si="49"/>
        <v>0</v>
      </c>
      <c r="L114" s="19">
        <f t="shared" si="49"/>
        <v>0</v>
      </c>
      <c r="M114" s="19">
        <f t="shared" si="49"/>
        <v>0</v>
      </c>
      <c r="N114" s="19">
        <f t="shared" si="49"/>
        <v>0</v>
      </c>
      <c r="O114" s="19">
        <f t="shared" si="49"/>
        <v>0</v>
      </c>
    </row>
    <row r="116" spans="1:20">
      <c r="A116" s="12" t="s">
        <v>297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>
      <c r="A117" s="4" t="s">
        <v>298</v>
      </c>
      <c r="B117" s="6" t="s">
        <v>181</v>
      </c>
      <c r="C117" s="10" t="str">
        <f>IFERROR(INDEX($D$5:$O$5,MATCH(1,$D$114:$O$114,0)),"не окупается")</f>
        <v>не окупается</v>
      </c>
    </row>
    <row r="118" spans="1:20">
      <c r="A118" s="4" t="s">
        <v>299</v>
      </c>
      <c r="B118" s="6" t="s">
        <v>181</v>
      </c>
      <c r="C118" s="10" t="str">
        <f>IFERROR(INDEX($D$5:$O$5,MATCH(1,$D$113:$O$113,0)),"не окупается")</f>
        <v>не окупается</v>
      </c>
    </row>
    <row r="119" spans="1:20">
      <c r="A119" s="6" t="s">
        <v>300</v>
      </c>
      <c r="B119" s="6" t="s">
        <v>301</v>
      </c>
      <c r="C119" s="19" t="str">
        <f>IF(ISNUMBER(C117),C117*3,"н/д")</f>
        <v>н/д</v>
      </c>
    </row>
    <row r="120" spans="1:20">
      <c r="A120" s="4" t="s">
        <v>302</v>
      </c>
      <c r="B120" s="6" t="s">
        <v>65</v>
      </c>
      <c r="C120" s="23">
        <f>MAX(0,-MIN($D$109:$O$109))</f>
        <v>170.256784346018</v>
      </c>
    </row>
    <row r="121" spans="1:20">
      <c r="A121" s="6" t="s">
        <v>303</v>
      </c>
      <c r="B121" s="6" t="s">
        <v>76</v>
      </c>
      <c r="C121" s="20">
        <f>IF($C$10&gt;0,C120/$C$10,0)</f>
        <v>0.0170256784346018</v>
      </c>
    </row>
    <row r="122" spans="1:20">
      <c r="A122" s="6" t="s">
        <v>304</v>
      </c>
      <c r="B122" s="6" t="s">
        <v>65</v>
      </c>
      <c r="C122" s="22">
        <f>T91</f>
        <v>630.448768993808</v>
      </c>
    </row>
    <row r="123" spans="1:20">
      <c r="A123" s="6" t="s">
        <v>305</v>
      </c>
      <c r="B123" s="6" t="s">
        <v>65</v>
      </c>
      <c r="C123" s="22">
        <f>T105</f>
        <v>642.26951273716</v>
      </c>
    </row>
    <row r="124" spans="1:20">
      <c r="A124" s="4" t="s">
        <v>306</v>
      </c>
      <c r="B124" s="6" t="s">
        <v>65</v>
      </c>
      <c r="C124" s="23">
        <f>O109</f>
        <v>-106.388059092423</v>
      </c>
    </row>
    <row r="125" spans="1:20">
      <c r="A125" s="6" t="s">
        <v>307</v>
      </c>
      <c r="B125" s="6" t="s">
        <v>65</v>
      </c>
      <c r="C125" s="22">
        <f>SUM($D$111:$O$111)</f>
        <v>-106.500668983304</v>
      </c>
    </row>
    <row r="126" spans="1:20">
      <c r="A126" s="6" t="s">
        <v>308</v>
      </c>
      <c r="B126" s="6" t="s">
        <v>76</v>
      </c>
      <c r="C126" s="20">
        <f>IF(C123&gt;0,C124/C123,0)</f>
        <v>-0.165643950059266</v>
      </c>
    </row>
    <row r="127" spans="1:20">
      <c r="A127" s="6" t="s">
        <v>309</v>
      </c>
      <c r="B127" s="6" t="s">
        <v>188</v>
      </c>
      <c r="C127" s="22">
        <f>O108*4</f>
        <v>66.66707228182</v>
      </c>
    </row>
    <row r="128" spans="1:20">
      <c r="A128" s="6" t="s">
        <v>310</v>
      </c>
      <c r="B128" s="6" t="s">
        <v>252</v>
      </c>
      <c r="C128" s="19">
        <f>T74</f>
        <v>10264.776644</v>
      </c>
    </row>
    <row r="129" spans="1:3">
      <c r="A129" s="6" t="s">
        <v>311</v>
      </c>
      <c r="B129" s="6" t="s">
        <v>252</v>
      </c>
      <c r="C129" s="19">
        <f>T83</f>
        <v>1992.00821747625</v>
      </c>
    </row>
    <row r="130" spans="1:3">
      <c r="A130" s="6" t="s">
        <v>312</v>
      </c>
      <c r="B130" s="6" t="s">
        <v>76</v>
      </c>
      <c r="C130" s="29">
        <f>$C$30*$C$32-$C$31</f>
        <v>0.0345</v>
      </c>
    </row>
    <row r="131" spans="1:3">
      <c r="A131" s="6" t="s">
        <v>313</v>
      </c>
      <c r="B131" s="6" t="s">
        <v>65</v>
      </c>
      <c r="C131" s="22">
        <f>$C$13*T84</f>
        <v>465.739833912661</v>
      </c>
    </row>
    <row r="132" spans="1:3">
      <c r="A132" s="6" t="s">
        <v>23</v>
      </c>
      <c r="B132" s="6" t="s">
        <v>76</v>
      </c>
      <c r="C132" s="20">
        <f>$C$30</f>
        <v>0.05</v>
      </c>
    </row>
    <row r="133" spans="1:3">
      <c r="A133" s="6" t="s">
        <v>314</v>
      </c>
      <c r="B133" s="6" t="s">
        <v>65</v>
      </c>
      <c r="C133" s="22">
        <f>$C$13*SUMPRODUCT($D$84:$O$84,$D$110:$O$110)</f>
        <v>338.759164844132</v>
      </c>
    </row>
    <row r="134" spans="1:3">
      <c r="A134" s="4" t="s">
        <v>22</v>
      </c>
      <c r="B134" s="6" t="s">
        <v>76</v>
      </c>
      <c r="C134" s="30">
        <f>IF(AND(C133&gt;0,C130&gt;0,$C$32&gt;0),($C$31+C130*(1-C125/C133))/$C$32,"н/д")</f>
        <v>0.0644616922039176</v>
      </c>
    </row>
    <row r="135" spans="1:3">
      <c r="A135" s="4" t="s">
        <v>21</v>
      </c>
      <c r="B135" s="6" t="s">
        <v>76</v>
      </c>
      <c r="C135" s="30">
        <f>IF(AND(C131&gt;0,C130&gt;0,$C$32&gt;0),($C$31+C130*(1-O109/C131))/$C$32,"н/д")</f>
        <v>0.0605076919814619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5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A1" sqref="A1"/>
    </sheetView>
  </sheetViews>
  <sheetFormatPr defaultColWidth="8.67619047619048" defaultRowHeight="15"/>
  <cols>
    <col min="1" max="1" width="62" customWidth="1"/>
    <col min="2" max="2" width="12" customWidth="1"/>
    <col min="3" max="3" width="14" customWidth="1"/>
    <col min="4" max="15" width="9.51428571428571" customWidth="1"/>
    <col min="16" max="16" width="2" customWidth="1"/>
    <col min="17" max="20" width="11" customWidth="1"/>
  </cols>
  <sheetData>
    <row r="1" ht="18" spans="1:20">
      <c r="A1" s="1" t="s">
        <v>316</v>
      </c>
    </row>
    <row r="2" spans="1:20">
      <c r="A2" s="6" t="s">
        <v>239</v>
      </c>
      <c r="C2" s="7">
        <v>3</v>
      </c>
    </row>
    <row r="3" spans="1:20">
      <c r="A3" s="6" t="s">
        <v>240</v>
      </c>
      <c r="C3" s="8" t="str">
        <f>INDEX(Допущения!$C$4:$E$4,$C$2)</f>
        <v>Оптимист</v>
      </c>
    </row>
    <row r="4" spans="1:20">
      <c r="A4" s="9" t="s">
        <v>241</v>
      </c>
    </row>
    <row r="5" spans="1:20">
      <c r="A5" s="4" t="s">
        <v>242</v>
      </c>
      <c r="D5" s="7">
        <v>1</v>
      </c>
      <c r="E5" s="10">
        <f t="shared" ref="E5:O5" si="0">D5+1</f>
        <v>2</v>
      </c>
      <c r="F5" s="10">
        <f t="shared" si="0"/>
        <v>3</v>
      </c>
      <c r="G5" s="10">
        <f t="shared" si="0"/>
        <v>4</v>
      </c>
      <c r="H5" s="10">
        <f t="shared" si="0"/>
        <v>5</v>
      </c>
      <c r="I5" s="10">
        <f t="shared" si="0"/>
        <v>6</v>
      </c>
      <c r="J5" s="10">
        <f t="shared" si="0"/>
        <v>7</v>
      </c>
      <c r="K5" s="10">
        <f t="shared" si="0"/>
        <v>8</v>
      </c>
      <c r="L5" s="10">
        <f t="shared" si="0"/>
        <v>9</v>
      </c>
      <c r="M5" s="10">
        <f t="shared" si="0"/>
        <v>10</v>
      </c>
      <c r="N5" s="10">
        <f t="shared" si="0"/>
        <v>11</v>
      </c>
      <c r="O5" s="10">
        <f t="shared" si="0"/>
        <v>12</v>
      </c>
    </row>
    <row r="6" spans="1:20">
      <c r="A6" s="4" t="s">
        <v>243</v>
      </c>
      <c r="D6" s="10">
        <f t="shared" ref="D6:O6" si="1">ROUNDUP(D5/4,0)</f>
        <v>1</v>
      </c>
      <c r="E6" s="10">
        <f t="shared" si="1"/>
        <v>1</v>
      </c>
      <c r="F6" s="10">
        <f t="shared" si="1"/>
        <v>1</v>
      </c>
      <c r="G6" s="10">
        <f t="shared" si="1"/>
        <v>1</v>
      </c>
      <c r="H6" s="10">
        <f t="shared" si="1"/>
        <v>2</v>
      </c>
      <c r="I6" s="10">
        <f t="shared" si="1"/>
        <v>2</v>
      </c>
      <c r="J6" s="10">
        <f t="shared" si="1"/>
        <v>2</v>
      </c>
      <c r="K6" s="10">
        <f t="shared" si="1"/>
        <v>2</v>
      </c>
      <c r="L6" s="10">
        <f t="shared" si="1"/>
        <v>3</v>
      </c>
      <c r="M6" s="10">
        <f t="shared" si="1"/>
        <v>3</v>
      </c>
      <c r="N6" s="10">
        <f t="shared" si="1"/>
        <v>3</v>
      </c>
      <c r="O6" s="10">
        <f t="shared" si="1"/>
        <v>3</v>
      </c>
      <c r="Q6" s="7">
        <v>1</v>
      </c>
      <c r="R6" s="7">
        <v>2</v>
      </c>
      <c r="S6" s="7">
        <v>3</v>
      </c>
    </row>
    <row r="7" spans="1:20">
      <c r="A7" s="2" t="s">
        <v>244</v>
      </c>
      <c r="B7" s="2"/>
      <c r="C7" s="2" t="s">
        <v>59</v>
      </c>
      <c r="D7" s="11" t="str">
        <f t="shared" ref="D7:O7" si="2">"Q"&amp;(MOD(D5-1,4)+1)&amp;" "&amp;(2026+D6)</f>
        <v>Q1 2027</v>
      </c>
      <c r="E7" s="11" t="str">
        <f t="shared" si="2"/>
        <v>Q2 2027</v>
      </c>
      <c r="F7" s="11" t="str">
        <f t="shared" si="2"/>
        <v>Q3 2027</v>
      </c>
      <c r="G7" s="11" t="str">
        <f t="shared" si="2"/>
        <v>Q4 2027</v>
      </c>
      <c r="H7" s="11" t="str">
        <f t="shared" si="2"/>
        <v>Q1 2028</v>
      </c>
      <c r="I7" s="11" t="str">
        <f t="shared" si="2"/>
        <v>Q2 2028</v>
      </c>
      <c r="J7" s="11" t="str">
        <f t="shared" si="2"/>
        <v>Q3 2028</v>
      </c>
      <c r="K7" s="11" t="str">
        <f t="shared" si="2"/>
        <v>Q4 2028</v>
      </c>
      <c r="L7" s="11" t="str">
        <f t="shared" si="2"/>
        <v>Q1 2029</v>
      </c>
      <c r="M7" s="11" t="str">
        <f t="shared" si="2"/>
        <v>Q2 2029</v>
      </c>
      <c r="N7" s="11" t="str">
        <f t="shared" si="2"/>
        <v>Q3 2029</v>
      </c>
      <c r="O7" s="11" t="str">
        <f t="shared" si="2"/>
        <v>Q4 2029</v>
      </c>
      <c r="Q7" s="11" t="s">
        <v>30</v>
      </c>
      <c r="R7" s="11" t="s">
        <v>31</v>
      </c>
      <c r="S7" s="11" t="s">
        <v>32</v>
      </c>
      <c r="T7" s="11" t="s">
        <v>33</v>
      </c>
    </row>
    <row r="9" spans="1:20">
      <c r="A9" s="12" t="s">
        <v>245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>
      <c r="A10" s="6" t="s">
        <v>64</v>
      </c>
      <c r="B10" s="6" t="s">
        <v>65</v>
      </c>
      <c r="C10" s="14">
        <f>INDEX(Допущения!$C$6:$E$6,$C$2)</f>
        <v>10000</v>
      </c>
    </row>
    <row r="11" spans="1:20">
      <c r="A11" s="6" t="s">
        <v>68</v>
      </c>
      <c r="B11" s="6" t="s">
        <v>69</v>
      </c>
      <c r="C11" s="14">
        <f>INDEX(Допущения!$C$7:$E$7,$C$2)</f>
        <v>12</v>
      </c>
    </row>
    <row r="12" spans="1:20">
      <c r="A12" s="6" t="s">
        <v>71</v>
      </c>
      <c r="B12" s="6" t="s">
        <v>72</v>
      </c>
      <c r="C12" s="15">
        <f>INDEX(Допущения!$C$8:$E$8,$C$2)</f>
        <v>0.15</v>
      </c>
    </row>
    <row r="13" spans="1:20">
      <c r="A13" s="6" t="s">
        <v>75</v>
      </c>
      <c r="B13" s="6" t="s">
        <v>76</v>
      </c>
      <c r="C13" s="15">
        <f>INDEX(Допущения!$C$9:$E$9,$C$2)</f>
        <v>0.85</v>
      </c>
    </row>
    <row r="14" spans="1:20">
      <c r="A14" s="6" t="s">
        <v>79</v>
      </c>
      <c r="B14" s="6" t="s">
        <v>80</v>
      </c>
      <c r="C14" s="14">
        <f>INDEX(Допущения!$C$11:$E$11,$C$2)</f>
        <v>200</v>
      </c>
    </row>
    <row r="15" spans="1:20">
      <c r="A15" s="6" t="s">
        <v>83</v>
      </c>
      <c r="B15" s="6" t="s">
        <v>72</v>
      </c>
      <c r="C15" s="15">
        <f>INDEX(Допущения!$C$12:$E$12,$C$2)</f>
        <v>0.1</v>
      </c>
    </row>
    <row r="16" spans="1:20">
      <c r="A16" s="6" t="s">
        <v>85</v>
      </c>
      <c r="B16" s="6" t="s">
        <v>76</v>
      </c>
      <c r="C16" s="15">
        <f>INDEX(Допущения!$C$13:$E$13,$C$2)</f>
        <v>0.43</v>
      </c>
    </row>
    <row r="17" spans="1:3">
      <c r="A17" s="6" t="s">
        <v>87</v>
      </c>
      <c r="B17" s="6" t="s">
        <v>88</v>
      </c>
      <c r="C17" s="15">
        <f>INDEX(Допущения!$C$14:$E$14,$C$2)</f>
        <v>0.04</v>
      </c>
    </row>
    <row r="18" spans="1:3">
      <c r="A18" s="6" t="s">
        <v>90</v>
      </c>
      <c r="B18" s="6" t="s">
        <v>91</v>
      </c>
      <c r="C18" s="14">
        <f>INDEX(Допущения!$C$15:$E$15,$C$2)</f>
        <v>51</v>
      </c>
    </row>
    <row r="19" spans="1:3">
      <c r="A19" s="6" t="s">
        <v>94</v>
      </c>
      <c r="B19" s="6" t="s">
        <v>76</v>
      </c>
      <c r="C19" s="15">
        <f>INDEX(Допущения!$C$17:$E$17,$C$2)</f>
        <v>0.39</v>
      </c>
    </row>
    <row r="20" spans="1:3">
      <c r="A20" s="6" t="s">
        <v>96</v>
      </c>
      <c r="B20" s="6" t="s">
        <v>76</v>
      </c>
      <c r="C20" s="15">
        <f>INDEX(Допущения!$C$18:$E$18,$C$2)</f>
        <v>0.62</v>
      </c>
    </row>
    <row r="21" spans="1:3">
      <c r="A21" s="6" t="s">
        <v>98</v>
      </c>
      <c r="B21" s="6" t="s">
        <v>76</v>
      </c>
      <c r="C21" s="15">
        <f>INDEX(Допущения!$C$19:$E$19,$C$2)</f>
        <v>0.78</v>
      </c>
    </row>
    <row r="22" spans="1:3">
      <c r="A22" s="6" t="s">
        <v>100</v>
      </c>
      <c r="B22" s="6" t="s">
        <v>76</v>
      </c>
      <c r="C22" s="15">
        <f>INDEX(Допущения!$C$20:$E$20,$C$2)</f>
        <v>0.55</v>
      </c>
    </row>
    <row r="23" spans="1:3">
      <c r="A23" s="6" t="s">
        <v>103</v>
      </c>
      <c r="B23" s="6" t="s">
        <v>76</v>
      </c>
      <c r="C23" s="15">
        <f>INDEX(Допущения!$C$22:$E$22,$C$2)</f>
        <v>0.1</v>
      </c>
    </row>
    <row r="24" spans="1:3">
      <c r="A24" s="6" t="s">
        <v>105</v>
      </c>
      <c r="B24" s="6" t="s">
        <v>76</v>
      </c>
      <c r="C24" s="15">
        <f>INDEX(Допущения!$C$23:$E$23,$C$2)</f>
        <v>0.35</v>
      </c>
    </row>
    <row r="25" spans="1:3">
      <c r="A25" s="6" t="s">
        <v>107</v>
      </c>
      <c r="B25" s="6" t="s">
        <v>69</v>
      </c>
      <c r="C25" s="14">
        <f>INDEX(Допущения!$C$24:$E$24,$C$2)</f>
        <v>2</v>
      </c>
    </row>
    <row r="26" spans="1:3">
      <c r="A26" s="6" t="s">
        <v>109</v>
      </c>
      <c r="B26" s="6" t="s">
        <v>76</v>
      </c>
      <c r="C26" s="15">
        <f>INDEX(Допущения!$C$25:$E$25,$C$2)</f>
        <v>0.12</v>
      </c>
    </row>
    <row r="27" spans="1:3">
      <c r="A27" s="6" t="s">
        <v>111</v>
      </c>
      <c r="B27" s="6" t="s">
        <v>76</v>
      </c>
      <c r="C27" s="15">
        <f>INDEX(Допущения!$C$26:$E$26,$C$2)</f>
        <v>0.25</v>
      </c>
    </row>
    <row r="28" spans="1:3">
      <c r="A28" s="6" t="s">
        <v>112</v>
      </c>
      <c r="B28" s="6" t="s">
        <v>113</v>
      </c>
      <c r="C28" s="14">
        <f>INDEX(Допущения!$C$27:$E$27,$C$2)</f>
        <v>250</v>
      </c>
    </row>
    <row r="29" spans="1:3">
      <c r="A29" s="6" t="s">
        <v>114</v>
      </c>
      <c r="B29" s="6" t="s">
        <v>76</v>
      </c>
      <c r="C29" s="15">
        <f>INDEX(Допущения!$C$28:$E$28,$C$2)</f>
        <v>0.4</v>
      </c>
    </row>
    <row r="30" spans="1:3">
      <c r="A30" s="6" t="s">
        <v>117</v>
      </c>
      <c r="B30" s="6" t="s">
        <v>76</v>
      </c>
      <c r="C30" s="15">
        <f>INDEX(Допущения!$C$30:$E$30,$C$2)</f>
        <v>0.08</v>
      </c>
    </row>
    <row r="31" spans="1:3">
      <c r="A31" s="6" t="s">
        <v>122</v>
      </c>
      <c r="B31" s="6" t="s">
        <v>76</v>
      </c>
      <c r="C31" s="15">
        <f>INDEX(Допущения!$C$32:$E$32,$C$2)</f>
        <v>0.0015</v>
      </c>
    </row>
    <row r="32" spans="1:3">
      <c r="A32" s="6" t="s">
        <v>120</v>
      </c>
      <c r="B32" s="6" t="s">
        <v>76</v>
      </c>
      <c r="C32" s="15">
        <f>INDEX(Допущения!$C$31:$E$31,$C$2)</f>
        <v>0.85</v>
      </c>
    </row>
    <row r="33" spans="1:3">
      <c r="A33" s="6" t="s">
        <v>124</v>
      </c>
      <c r="B33" s="6" t="s">
        <v>113</v>
      </c>
      <c r="C33" s="14">
        <f>INDEX(Допущения!$C$33:$E$33,$C$2)</f>
        <v>2000</v>
      </c>
    </row>
    <row r="34" spans="1:3">
      <c r="A34" s="6" t="s">
        <v>127</v>
      </c>
      <c r="B34" s="6" t="s">
        <v>76</v>
      </c>
      <c r="C34" s="15">
        <f>INDEX(Допущения!$C$34:$E$34,$C$2)</f>
        <v>0.125</v>
      </c>
    </row>
    <row r="35" spans="1:3">
      <c r="A35" s="6" t="s">
        <v>129</v>
      </c>
      <c r="B35" s="6" t="s">
        <v>72</v>
      </c>
      <c r="C35" s="15">
        <f>INDEX(Допущения!$C$35:$E$35,$C$2)</f>
        <v>0.07</v>
      </c>
    </row>
    <row r="36" spans="1:3">
      <c r="A36" s="6" t="s">
        <v>246</v>
      </c>
      <c r="B36" s="6" t="s">
        <v>113</v>
      </c>
      <c r="C36" s="14">
        <f>$C$33*$C$34</f>
        <v>250</v>
      </c>
    </row>
    <row r="37" spans="1:3">
      <c r="A37" s="6" t="s">
        <v>132</v>
      </c>
      <c r="B37" s="6" t="s">
        <v>76</v>
      </c>
      <c r="C37" s="15">
        <f>INDEX(Допущения!$C$37:$E$37,$C$2)</f>
        <v>0.2</v>
      </c>
    </row>
    <row r="38" spans="1:3">
      <c r="A38" s="6" t="s">
        <v>134</v>
      </c>
      <c r="B38" s="6" t="s">
        <v>135</v>
      </c>
      <c r="C38" s="16">
        <f>INDEX(Допущения!$C$38:$E$38,$C$2)</f>
        <v>1.1</v>
      </c>
    </row>
    <row r="39" spans="1:3">
      <c r="A39" s="6" t="s">
        <v>137</v>
      </c>
      <c r="B39" s="6" t="s">
        <v>138</v>
      </c>
      <c r="C39" s="14">
        <f>INDEX(Допущения!$C$39:$E$39,$C$2)</f>
        <v>12</v>
      </c>
    </row>
    <row r="40" spans="1:3">
      <c r="A40" s="6" t="s">
        <v>139</v>
      </c>
      <c r="B40" s="6" t="s">
        <v>113</v>
      </c>
      <c r="C40" s="16">
        <f>INDEX(Допущения!$C$40:$E$40,$C$2)</f>
        <v>0.11</v>
      </c>
    </row>
    <row r="41" spans="1:3">
      <c r="A41" s="6" t="s">
        <v>142</v>
      </c>
      <c r="B41" s="6" t="s">
        <v>143</v>
      </c>
      <c r="C41" s="16">
        <f>INDEX(Допущения!$C$42:$E$42,$C$2)</f>
        <v>0.04</v>
      </c>
    </row>
    <row r="42" spans="1:3">
      <c r="A42" s="6" t="s">
        <v>145</v>
      </c>
      <c r="B42" s="6" t="s">
        <v>113</v>
      </c>
      <c r="C42" s="14">
        <f>INDEX(Допущения!$C$43:$E$43,$C$2)</f>
        <v>250</v>
      </c>
    </row>
    <row r="43" spans="1:3">
      <c r="A43" s="6" t="s">
        <v>247</v>
      </c>
      <c r="B43" s="6" t="s">
        <v>153</v>
      </c>
      <c r="C43" s="17">
        <f>Допущения!C54*INDEX(Допущения!$C$57:$E$57,$C$2)</f>
        <v>15</v>
      </c>
    </row>
    <row r="44" spans="1:3">
      <c r="A44" s="6" t="s">
        <v>248</v>
      </c>
      <c r="B44" s="6" t="s">
        <v>153</v>
      </c>
      <c r="C44" s="17">
        <f>Допущения!D54*INDEX(Допущения!$C$57:$E$57,$C$2)</f>
        <v>19</v>
      </c>
    </row>
    <row r="45" spans="1:3">
      <c r="A45" s="6" t="s">
        <v>249</v>
      </c>
      <c r="B45" s="6" t="s">
        <v>153</v>
      </c>
      <c r="C45" s="17">
        <f>Допущения!E54*INDEX(Допущения!$C$57:$E$57,$C$2)</f>
        <v>20</v>
      </c>
    </row>
    <row r="46" spans="1:3">
      <c r="A46" s="6" t="s">
        <v>167</v>
      </c>
      <c r="B46" s="6" t="s">
        <v>168</v>
      </c>
      <c r="C46" s="14">
        <f>INDEX(Допущения!$C$58:$E$58,$C$2)</f>
        <v>450</v>
      </c>
    </row>
    <row r="47" spans="1:3">
      <c r="A47" s="6" t="s">
        <v>170</v>
      </c>
      <c r="B47" s="6" t="s">
        <v>72</v>
      </c>
      <c r="C47" s="15">
        <f>INDEX(Допущения!$C$59:$E$59,$C$2)</f>
        <v>0.08</v>
      </c>
    </row>
    <row r="48" spans="1:3">
      <c r="A48" s="6" t="s">
        <v>172</v>
      </c>
      <c r="B48" s="6" t="s">
        <v>138</v>
      </c>
      <c r="C48" s="16">
        <f>INDEX(Допущения!$C$61:$E$61,$C$2)</f>
        <v>2</v>
      </c>
    </row>
    <row r="49" spans="1:20">
      <c r="A49" s="6" t="s">
        <v>174</v>
      </c>
      <c r="B49" s="6" t="s">
        <v>113</v>
      </c>
      <c r="C49" s="16">
        <f>INDEX(Допущения!$C$62:$E$62,$C$2)</f>
        <v>1</v>
      </c>
    </row>
    <row r="50" spans="1:20">
      <c r="A50" s="6" t="s">
        <v>176</v>
      </c>
      <c r="B50" s="6" t="s">
        <v>76</v>
      </c>
      <c r="C50" s="15">
        <f>INDEX(Допущения!$C$63:$E$63,$C$2)</f>
        <v>0.03</v>
      </c>
    </row>
    <row r="51" spans="1:20">
      <c r="A51" s="6" t="s">
        <v>177</v>
      </c>
      <c r="B51" s="6" t="s">
        <v>113</v>
      </c>
      <c r="C51" s="14">
        <f>INDEX(Допущения!$C$64:$E$64,$C$2)</f>
        <v>20</v>
      </c>
    </row>
    <row r="52" spans="1:20">
      <c r="A52" s="6" t="s">
        <v>178</v>
      </c>
      <c r="B52" s="6" t="s">
        <v>113</v>
      </c>
      <c r="C52" s="16">
        <f>INDEX(Допущения!$C$65:$E$65,$C$2)</f>
        <v>2</v>
      </c>
    </row>
    <row r="53" spans="1:20">
      <c r="A53" s="6" t="s">
        <v>179</v>
      </c>
      <c r="B53" s="6" t="s">
        <v>65</v>
      </c>
      <c r="C53" s="18">
        <f>INDEX(Допущения!$C$66:$E$66,$C$2)</f>
        <v>3</v>
      </c>
    </row>
    <row r="54" spans="1:20">
      <c r="A54" s="6" t="s">
        <v>180</v>
      </c>
      <c r="B54" s="6" t="s">
        <v>181</v>
      </c>
      <c r="C54" s="14">
        <f>INDEX(Допущения!$C$67:$E$67,$C$2)</f>
        <v>2</v>
      </c>
    </row>
    <row r="55" spans="1:20">
      <c r="A55" s="6" t="s">
        <v>183</v>
      </c>
      <c r="B55" s="6" t="s">
        <v>76</v>
      </c>
      <c r="C55" s="15">
        <f>INDEX(Допущения!$C$68:$E$68,$C$2)</f>
        <v>0.5</v>
      </c>
    </row>
    <row r="56" spans="1:20">
      <c r="A56" s="6" t="s">
        <v>185</v>
      </c>
      <c r="B56" s="6" t="s">
        <v>113</v>
      </c>
      <c r="C56" s="14">
        <f>INDEX(Допущения!$C$69:$E$69,$C$2)</f>
        <v>25</v>
      </c>
    </row>
    <row r="57" spans="1:20">
      <c r="A57" s="6" t="s">
        <v>187</v>
      </c>
      <c r="B57" s="6" t="s">
        <v>188</v>
      </c>
      <c r="C57" s="14">
        <f>INDEX(Допущения!$C$70:$E$70,$C$2)</f>
        <v>200</v>
      </c>
    </row>
    <row r="58" spans="1:20">
      <c r="A58" s="6" t="s">
        <v>190</v>
      </c>
      <c r="B58" s="6" t="s">
        <v>76</v>
      </c>
      <c r="C58" s="15">
        <f>INDEX(Допущения!$C$71:$E$71,$C$2)</f>
        <v>0.1</v>
      </c>
    </row>
    <row r="59" spans="1:20">
      <c r="A59" s="6" t="s">
        <v>192</v>
      </c>
      <c r="B59" s="6" t="s">
        <v>65</v>
      </c>
      <c r="C59" s="14">
        <f>INDEX(Допущения!$C$73:$E$73,$C$2)</f>
        <v>80</v>
      </c>
    </row>
    <row r="60" spans="1:20">
      <c r="A60" s="6" t="s">
        <v>194</v>
      </c>
      <c r="B60" s="6" t="s">
        <v>181</v>
      </c>
      <c r="C60" s="14">
        <f>INDEX(Допущения!$C$74:$E$74,$C$2)</f>
        <v>3</v>
      </c>
    </row>
    <row r="61" spans="1:20">
      <c r="A61" s="6" t="s">
        <v>195</v>
      </c>
      <c r="B61" s="6" t="s">
        <v>181</v>
      </c>
      <c r="C61" s="14">
        <f>INDEX(Допущения!$C$75:$E$75,$C$2)</f>
        <v>4</v>
      </c>
    </row>
    <row r="62" spans="1:20">
      <c r="A62" s="6" t="s">
        <v>196</v>
      </c>
      <c r="B62" s="6" t="s">
        <v>65</v>
      </c>
      <c r="C62" s="18">
        <f>INDEX(Допущения!$C$76:$E$76,$C$2)</f>
        <v>8</v>
      </c>
    </row>
    <row r="64" spans="1:20">
      <c r="A64" s="12" t="s">
        <v>250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>
      <c r="A65" s="6" t="s">
        <v>251</v>
      </c>
      <c r="B65" s="6" t="s">
        <v>252</v>
      </c>
      <c r="D65" s="19">
        <f t="shared" ref="D65:O65" si="3">$C$14*1000*(1+$C$15)^D$6/4</f>
        <v>55000</v>
      </c>
      <c r="E65" s="19">
        <f t="shared" si="3"/>
        <v>55000</v>
      </c>
      <c r="F65" s="19">
        <f t="shared" si="3"/>
        <v>55000</v>
      </c>
      <c r="G65" s="19">
        <f t="shared" si="3"/>
        <v>55000</v>
      </c>
      <c r="H65" s="19">
        <f t="shared" si="3"/>
        <v>60500</v>
      </c>
      <c r="I65" s="19">
        <f t="shared" si="3"/>
        <v>60500</v>
      </c>
      <c r="J65" s="19">
        <f t="shared" si="3"/>
        <v>60500</v>
      </c>
      <c r="K65" s="19">
        <f t="shared" si="3"/>
        <v>60500</v>
      </c>
      <c r="L65" s="19">
        <f t="shared" si="3"/>
        <v>66550</v>
      </c>
      <c r="M65" s="19">
        <f t="shared" si="3"/>
        <v>66550</v>
      </c>
      <c r="N65" s="19">
        <f t="shared" si="3"/>
        <v>66550</v>
      </c>
      <c r="O65" s="19">
        <f t="shared" si="3"/>
        <v>66550</v>
      </c>
      <c r="Q65" s="19">
        <f>SUMIF($D$6:$O$6,Q$6,$D65:$O65)</f>
        <v>220000</v>
      </c>
      <c r="R65" s="19">
        <f>SUMIF($D$6:$O$6,R$6,$D65:$O65)</f>
        <v>242000</v>
      </c>
      <c r="S65" s="19">
        <f>SUMIF($D$6:$O$6,S$6,$D65:$O65)</f>
        <v>266200</v>
      </c>
      <c r="T65" s="10">
        <f>SUM(Q65:S65)</f>
        <v>728200</v>
      </c>
    </row>
    <row r="66" spans="1:20">
      <c r="A66" s="6" t="s">
        <v>253</v>
      </c>
      <c r="B66" s="6" t="s">
        <v>76</v>
      </c>
      <c r="D66" s="20">
        <f t="shared" ref="D66:O66" si="4">$C$16+$C$17*D$6</f>
        <v>0.47</v>
      </c>
      <c r="E66" s="20">
        <f t="shared" si="4"/>
        <v>0.47</v>
      </c>
      <c r="F66" s="20">
        <f t="shared" si="4"/>
        <v>0.47</v>
      </c>
      <c r="G66" s="20">
        <f t="shared" si="4"/>
        <v>0.47</v>
      </c>
      <c r="H66" s="20">
        <f t="shared" si="4"/>
        <v>0.51</v>
      </c>
      <c r="I66" s="20">
        <f t="shared" si="4"/>
        <v>0.51</v>
      </c>
      <c r="J66" s="20">
        <f t="shared" si="4"/>
        <v>0.51</v>
      </c>
      <c r="K66" s="20">
        <f t="shared" si="4"/>
        <v>0.51</v>
      </c>
      <c r="L66" s="20">
        <f t="shared" si="4"/>
        <v>0.55</v>
      </c>
      <c r="M66" s="20">
        <f t="shared" si="4"/>
        <v>0.55</v>
      </c>
      <c r="N66" s="20">
        <f t="shared" si="4"/>
        <v>0.55</v>
      </c>
      <c r="O66" s="20">
        <f t="shared" si="4"/>
        <v>0.55</v>
      </c>
    </row>
    <row r="67" spans="1:20">
      <c r="A67" s="6" t="s">
        <v>254</v>
      </c>
      <c r="B67" s="6" t="s">
        <v>252</v>
      </c>
      <c r="D67" s="19">
        <f t="shared" ref="D67:O67" si="5">D65*D66</f>
        <v>25850</v>
      </c>
      <c r="E67" s="19">
        <f t="shared" si="5"/>
        <v>25850</v>
      </c>
      <c r="F67" s="19">
        <f t="shared" si="5"/>
        <v>25850</v>
      </c>
      <c r="G67" s="19">
        <f t="shared" si="5"/>
        <v>25850</v>
      </c>
      <c r="H67" s="19">
        <f t="shared" si="5"/>
        <v>30855</v>
      </c>
      <c r="I67" s="19">
        <f t="shared" si="5"/>
        <v>30855</v>
      </c>
      <c r="J67" s="19">
        <f t="shared" si="5"/>
        <v>30855</v>
      </c>
      <c r="K67" s="19">
        <f t="shared" si="5"/>
        <v>30855</v>
      </c>
      <c r="L67" s="19">
        <f t="shared" si="5"/>
        <v>36602.5</v>
      </c>
      <c r="M67" s="19">
        <f t="shared" si="5"/>
        <v>36602.5</v>
      </c>
      <c r="N67" s="19">
        <f t="shared" si="5"/>
        <v>36602.5</v>
      </c>
      <c r="O67" s="19">
        <f t="shared" si="5"/>
        <v>36602.5</v>
      </c>
      <c r="Q67" s="19">
        <f>SUMIF($D$6:$O$6,Q$6,$D67:$O67)</f>
        <v>103400</v>
      </c>
      <c r="R67" s="19">
        <f>SUMIF($D$6:$O$6,R$6,$D67:$O67)</f>
        <v>123420</v>
      </c>
      <c r="S67" s="19">
        <f>SUMIF($D$6:$O$6,S$6,$D67:$O67)</f>
        <v>146410</v>
      </c>
      <c r="T67" s="10">
        <f>SUM(Q67:S67)</f>
        <v>373230</v>
      </c>
    </row>
    <row r="68" spans="1:20">
      <c r="A68" s="6" t="s">
        <v>255</v>
      </c>
      <c r="B68" s="6" t="s">
        <v>76</v>
      </c>
      <c r="D68" s="20">
        <f t="shared" ref="D68:O68" si="6">INDEX($C$19:$C$21,D$6)</f>
        <v>0.39</v>
      </c>
      <c r="E68" s="20">
        <f t="shared" si="6"/>
        <v>0.39</v>
      </c>
      <c r="F68" s="20">
        <f t="shared" si="6"/>
        <v>0.39</v>
      </c>
      <c r="G68" s="20">
        <f t="shared" si="6"/>
        <v>0.39</v>
      </c>
      <c r="H68" s="20">
        <f t="shared" si="6"/>
        <v>0.62</v>
      </c>
      <c r="I68" s="20">
        <f t="shared" si="6"/>
        <v>0.62</v>
      </c>
      <c r="J68" s="20">
        <f t="shared" si="6"/>
        <v>0.62</v>
      </c>
      <c r="K68" s="20">
        <f t="shared" si="6"/>
        <v>0.62</v>
      </c>
      <c r="L68" s="20">
        <f t="shared" si="6"/>
        <v>0.78</v>
      </c>
      <c r="M68" s="20">
        <f t="shared" si="6"/>
        <v>0.78</v>
      </c>
      <c r="N68" s="20">
        <f t="shared" si="6"/>
        <v>0.78</v>
      </c>
      <c r="O68" s="20">
        <f t="shared" si="6"/>
        <v>0.78</v>
      </c>
    </row>
    <row r="69" spans="1:20">
      <c r="A69" s="6" t="s">
        <v>256</v>
      </c>
      <c r="B69" s="6" t="s">
        <v>76</v>
      </c>
      <c r="D69" s="21">
        <f>INDEX(Допущения!D$79:D$81,$C$2)</f>
        <v>0</v>
      </c>
      <c r="E69" s="21">
        <f>INDEX(Допущения!E$79:E$81,$C$2)</f>
        <v>0</v>
      </c>
      <c r="F69" s="21">
        <f>INDEX(Допущения!F$79:F$81,$C$2)</f>
        <v>0.15</v>
      </c>
      <c r="G69" s="21">
        <f>INDEX(Допущения!G$79:G$81,$C$2)</f>
        <v>0.35</v>
      </c>
      <c r="H69" s="21">
        <f>INDEX(Допущения!H$79:H$81,$C$2)</f>
        <v>0.55</v>
      </c>
      <c r="I69" s="21">
        <f>INDEX(Допущения!I$79:I$81,$C$2)</f>
        <v>0.75</v>
      </c>
      <c r="J69" s="21">
        <f>INDEX(Допущения!J$79:J$81,$C$2)</f>
        <v>0.9</v>
      </c>
      <c r="K69" s="21">
        <f>INDEX(Допущения!K$79:K$81,$C$2)</f>
        <v>1</v>
      </c>
      <c r="L69" s="21">
        <f>INDEX(Допущения!L$79:L$81,$C$2)</f>
        <v>1</v>
      </c>
      <c r="M69" s="21">
        <f>INDEX(Допущения!M$79:M$81,$C$2)</f>
        <v>1</v>
      </c>
      <c r="N69" s="21">
        <f>INDEX(Допущения!N$79:N$81,$C$2)</f>
        <v>1</v>
      </c>
      <c r="O69" s="21">
        <f>INDEX(Допущения!O$79:O$81,$C$2)</f>
        <v>1</v>
      </c>
    </row>
    <row r="70" spans="1:20">
      <c r="A70" s="6" t="s">
        <v>257</v>
      </c>
      <c r="B70" s="6" t="s">
        <v>252</v>
      </c>
      <c r="D70" s="19">
        <f t="shared" ref="D70:O70" si="7">D67*D68</f>
        <v>10081.5</v>
      </c>
      <c r="E70" s="19">
        <f t="shared" si="7"/>
        <v>10081.5</v>
      </c>
      <c r="F70" s="19">
        <f t="shared" si="7"/>
        <v>10081.5</v>
      </c>
      <c r="G70" s="19">
        <f t="shared" si="7"/>
        <v>10081.5</v>
      </c>
      <c r="H70" s="19">
        <f t="shared" si="7"/>
        <v>19130.1</v>
      </c>
      <c r="I70" s="19">
        <f t="shared" si="7"/>
        <v>19130.1</v>
      </c>
      <c r="J70" s="19">
        <f t="shared" si="7"/>
        <v>19130.1</v>
      </c>
      <c r="K70" s="19">
        <f t="shared" si="7"/>
        <v>19130.1</v>
      </c>
      <c r="L70" s="19">
        <f t="shared" si="7"/>
        <v>28549.95</v>
      </c>
      <c r="M70" s="19">
        <f t="shared" si="7"/>
        <v>28549.95</v>
      </c>
      <c r="N70" s="19">
        <f t="shared" si="7"/>
        <v>28549.95</v>
      </c>
      <c r="O70" s="19">
        <f t="shared" si="7"/>
        <v>28549.95</v>
      </c>
      <c r="Q70" s="19">
        <f>SUMIF($D$6:$O$6,Q$6,$D70:$O70)</f>
        <v>40326</v>
      </c>
      <c r="R70" s="19">
        <f>SUMIF($D$6:$O$6,R$6,$D70:$O70)</f>
        <v>76520.4</v>
      </c>
      <c r="S70" s="19">
        <f>SUMIF($D$6:$O$6,S$6,$D70:$O70)</f>
        <v>114199.8</v>
      </c>
      <c r="T70" s="10">
        <f>SUM(Q70:S70)</f>
        <v>231046.2</v>
      </c>
    </row>
    <row r="71" spans="1:20">
      <c r="A71" s="6" t="s">
        <v>258</v>
      </c>
      <c r="B71" s="6" t="s">
        <v>252</v>
      </c>
      <c r="D71" s="19">
        <f t="shared" ref="D71:O71" si="8">D70*$C$22*D69</f>
        <v>0</v>
      </c>
      <c r="E71" s="19">
        <f t="shared" si="8"/>
        <v>0</v>
      </c>
      <c r="F71" s="19">
        <f t="shared" si="8"/>
        <v>831.72375</v>
      </c>
      <c r="G71" s="19">
        <f t="shared" si="8"/>
        <v>1940.68875</v>
      </c>
      <c r="H71" s="19">
        <f t="shared" si="8"/>
        <v>5786.85525</v>
      </c>
      <c r="I71" s="19">
        <f t="shared" si="8"/>
        <v>7891.16625</v>
      </c>
      <c r="J71" s="19">
        <f t="shared" si="8"/>
        <v>9469.3995</v>
      </c>
      <c r="K71" s="19">
        <f t="shared" si="8"/>
        <v>10521.555</v>
      </c>
      <c r="L71" s="19">
        <f t="shared" si="8"/>
        <v>15702.4725</v>
      </c>
      <c r="M71" s="19">
        <f t="shared" si="8"/>
        <v>15702.4725</v>
      </c>
      <c r="N71" s="19">
        <f t="shared" si="8"/>
        <v>15702.4725</v>
      </c>
      <c r="O71" s="19">
        <f t="shared" si="8"/>
        <v>15702.4725</v>
      </c>
      <c r="Q71" s="19">
        <f>SUMIF($D$6:$O$6,Q$6,$D71:$O71)</f>
        <v>2772.4125</v>
      </c>
      <c r="R71" s="19">
        <f>SUMIF($D$6:$O$6,R$6,$D71:$O71)</f>
        <v>33668.976</v>
      </c>
      <c r="S71" s="19">
        <f>SUMIF($D$6:$O$6,S$6,$D71:$O71)</f>
        <v>62809.89</v>
      </c>
      <c r="T71" s="10">
        <f>SUM(Q71:S71)</f>
        <v>99251.2785</v>
      </c>
    </row>
    <row r="73" spans="1:20">
      <c r="A73" s="12" t="s">
        <v>259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>
      <c r="A74" s="6" t="s">
        <v>260</v>
      </c>
      <c r="B74" s="6" t="s">
        <v>252</v>
      </c>
      <c r="D74" s="19">
        <f t="shared" ref="D74:O74" si="9">D70*D69*$C$23</f>
        <v>0</v>
      </c>
      <c r="E74" s="19">
        <f t="shared" si="9"/>
        <v>0</v>
      </c>
      <c r="F74" s="19">
        <f t="shared" si="9"/>
        <v>151.2225</v>
      </c>
      <c r="G74" s="19">
        <f t="shared" si="9"/>
        <v>352.8525</v>
      </c>
      <c r="H74" s="19">
        <f t="shared" si="9"/>
        <v>1052.1555</v>
      </c>
      <c r="I74" s="19">
        <f t="shared" si="9"/>
        <v>1434.7575</v>
      </c>
      <c r="J74" s="19">
        <f t="shared" si="9"/>
        <v>1721.709</v>
      </c>
      <c r="K74" s="19">
        <f t="shared" si="9"/>
        <v>1913.01</v>
      </c>
      <c r="L74" s="19">
        <f t="shared" si="9"/>
        <v>2854.995</v>
      </c>
      <c r="M74" s="19">
        <f t="shared" si="9"/>
        <v>2854.995</v>
      </c>
      <c r="N74" s="19">
        <f t="shared" si="9"/>
        <v>2854.995</v>
      </c>
      <c r="O74" s="19">
        <f t="shared" si="9"/>
        <v>2854.995</v>
      </c>
      <c r="Q74" s="19">
        <f>SUMIF($D$6:$O$6,Q$6,$D74:$O74)</f>
        <v>504.075</v>
      </c>
      <c r="R74" s="19">
        <f>SUMIF($D$6:$O$6,R$6,$D74:$O74)</f>
        <v>6121.632</v>
      </c>
      <c r="S74" s="19">
        <f>SUMIF($D$6:$O$6,S$6,$D74:$O74)</f>
        <v>11419.98</v>
      </c>
      <c r="T74" s="10">
        <f>SUM(Q74:S74)</f>
        <v>18045.687</v>
      </c>
    </row>
    <row r="75" spans="1:20">
      <c r="A75" s="6" t="s">
        <v>261</v>
      </c>
      <c r="B75" s="6" t="s">
        <v>252</v>
      </c>
      <c r="D75" s="19">
        <f t="shared" ref="D75:O75" si="10">IF(D$5&gt;$C$25,INDEX($D$74:$O$74,D$5-$C$25),0)*$C$24</f>
        <v>0</v>
      </c>
      <c r="E75" s="19">
        <f t="shared" si="10"/>
        <v>0</v>
      </c>
      <c r="F75" s="19">
        <f t="shared" si="10"/>
        <v>0</v>
      </c>
      <c r="G75" s="19">
        <f t="shared" si="10"/>
        <v>0</v>
      </c>
      <c r="H75" s="19">
        <f t="shared" si="10"/>
        <v>52.927875</v>
      </c>
      <c r="I75" s="19">
        <f t="shared" si="10"/>
        <v>123.498375</v>
      </c>
      <c r="J75" s="19">
        <f t="shared" si="10"/>
        <v>368.254425</v>
      </c>
      <c r="K75" s="19">
        <f t="shared" si="10"/>
        <v>502.165125</v>
      </c>
      <c r="L75" s="19">
        <f t="shared" si="10"/>
        <v>602.59815</v>
      </c>
      <c r="M75" s="19">
        <f t="shared" si="10"/>
        <v>669.5535</v>
      </c>
      <c r="N75" s="19">
        <f t="shared" si="10"/>
        <v>999.24825</v>
      </c>
      <c r="O75" s="19">
        <f t="shared" si="10"/>
        <v>999.24825</v>
      </c>
      <c r="Q75" s="19">
        <f>SUMIF($D$6:$O$6,Q$6,$D75:$O75)</f>
        <v>0</v>
      </c>
      <c r="R75" s="19">
        <f>SUMIF($D$6:$O$6,R$6,$D75:$O75)</f>
        <v>1046.8458</v>
      </c>
      <c r="S75" s="19">
        <f>SUMIF($D$6:$O$6,S$6,$D75:$O75)</f>
        <v>3270.64815</v>
      </c>
      <c r="T75" s="10">
        <f>SUM(Q75:S75)</f>
        <v>4317.49395</v>
      </c>
    </row>
    <row r="76" spans="1:20">
      <c r="A76" s="6" t="s">
        <v>262</v>
      </c>
      <c r="B76" s="6" t="s">
        <v>252</v>
      </c>
      <c r="D76" s="22">
        <f t="shared" ref="D76:O76" si="11">D75*$C$26</f>
        <v>0</v>
      </c>
      <c r="E76" s="22">
        <f t="shared" si="11"/>
        <v>0</v>
      </c>
      <c r="F76" s="22">
        <f t="shared" si="11"/>
        <v>0</v>
      </c>
      <c r="G76" s="22">
        <f t="shared" si="11"/>
        <v>0</v>
      </c>
      <c r="H76" s="22">
        <f t="shared" si="11"/>
        <v>6.351345</v>
      </c>
      <c r="I76" s="22">
        <f t="shared" si="11"/>
        <v>14.819805</v>
      </c>
      <c r="J76" s="22">
        <f t="shared" si="11"/>
        <v>44.190531</v>
      </c>
      <c r="K76" s="22">
        <f t="shared" si="11"/>
        <v>60.259815</v>
      </c>
      <c r="L76" s="22">
        <f t="shared" si="11"/>
        <v>72.311778</v>
      </c>
      <c r="M76" s="22">
        <f t="shared" si="11"/>
        <v>80.34642</v>
      </c>
      <c r="N76" s="22">
        <f t="shared" si="11"/>
        <v>119.90979</v>
      </c>
      <c r="O76" s="22">
        <f t="shared" si="11"/>
        <v>119.90979</v>
      </c>
      <c r="Q76" s="22">
        <f>SUMIF($D$6:$O$6,Q$6,$D76:$O76)</f>
        <v>0</v>
      </c>
      <c r="R76" s="22">
        <f>SUMIF($D$6:$O$6,R$6,$D76:$O76)</f>
        <v>125.621496</v>
      </c>
      <c r="S76" s="22">
        <f>SUMIF($D$6:$O$6,S$6,$D76:$O76)</f>
        <v>392.477778</v>
      </c>
      <c r="T76" s="23">
        <f>SUM(Q76:S76)</f>
        <v>518.099274</v>
      </c>
    </row>
    <row r="77" spans="1:20">
      <c r="A77" s="6" t="s">
        <v>263</v>
      </c>
      <c r="B77" s="6" t="s">
        <v>252</v>
      </c>
      <c r="D77" s="22">
        <f t="shared" ref="D77:O77" si="12">D76*$C$27</f>
        <v>0</v>
      </c>
      <c r="E77" s="22">
        <f t="shared" si="12"/>
        <v>0</v>
      </c>
      <c r="F77" s="22">
        <f t="shared" si="12"/>
        <v>0</v>
      </c>
      <c r="G77" s="22">
        <f t="shared" si="12"/>
        <v>0</v>
      </c>
      <c r="H77" s="22">
        <f t="shared" si="12"/>
        <v>1.58783625</v>
      </c>
      <c r="I77" s="22">
        <f t="shared" si="12"/>
        <v>3.70495125</v>
      </c>
      <c r="J77" s="22">
        <f t="shared" si="12"/>
        <v>11.04763275</v>
      </c>
      <c r="K77" s="22">
        <f t="shared" si="12"/>
        <v>15.06495375</v>
      </c>
      <c r="L77" s="22">
        <f t="shared" si="12"/>
        <v>18.0779445</v>
      </c>
      <c r="M77" s="22">
        <f t="shared" si="12"/>
        <v>20.086605</v>
      </c>
      <c r="N77" s="22">
        <f t="shared" si="12"/>
        <v>29.9774475</v>
      </c>
      <c r="O77" s="22">
        <f t="shared" si="12"/>
        <v>29.9774475</v>
      </c>
      <c r="Q77" s="22">
        <f>SUMIF($D$6:$O$6,Q$6,$D77:$O77)</f>
        <v>0</v>
      </c>
      <c r="R77" s="22">
        <f>SUMIF($D$6:$O$6,R$6,$D77:$O77)</f>
        <v>31.405374</v>
      </c>
      <c r="S77" s="22">
        <f>SUMIF($D$6:$O$6,S$6,$D77:$O77)</f>
        <v>98.1194445</v>
      </c>
      <c r="T77" s="23">
        <f>SUM(Q77:S77)</f>
        <v>129.5248185</v>
      </c>
    </row>
    <row r="79" spans="1:20">
      <c r="A79" s="12" t="s">
        <v>264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>
      <c r="A80" s="6" t="s">
        <v>265</v>
      </c>
      <c r="B80" s="6" t="s">
        <v>113</v>
      </c>
      <c r="D80" s="19">
        <f t="shared" ref="D80:O80" si="13">$C$36*(1+$C$35)^(D$6-1)</f>
        <v>250</v>
      </c>
      <c r="E80" s="19">
        <f t="shared" si="13"/>
        <v>250</v>
      </c>
      <c r="F80" s="19">
        <f t="shared" si="13"/>
        <v>250</v>
      </c>
      <c r="G80" s="19">
        <f t="shared" si="13"/>
        <v>250</v>
      </c>
      <c r="H80" s="19">
        <f t="shared" si="13"/>
        <v>267.5</v>
      </c>
      <c r="I80" s="19">
        <f t="shared" si="13"/>
        <v>267.5</v>
      </c>
      <c r="J80" s="19">
        <f t="shared" si="13"/>
        <v>267.5</v>
      </c>
      <c r="K80" s="19">
        <f t="shared" si="13"/>
        <v>267.5</v>
      </c>
      <c r="L80" s="19">
        <f t="shared" si="13"/>
        <v>286.225</v>
      </c>
      <c r="M80" s="19">
        <f t="shared" si="13"/>
        <v>286.225</v>
      </c>
      <c r="N80" s="19">
        <f t="shared" si="13"/>
        <v>286.225</v>
      </c>
      <c r="O80" s="19">
        <f t="shared" si="13"/>
        <v>286.225</v>
      </c>
      <c r="Q80" s="19">
        <f>AVERAGEIF($D$6:$O$6,Q$6,$D80:$O80)</f>
        <v>250</v>
      </c>
      <c r="R80" s="19">
        <f>AVERAGEIF($D$6:$O$6,R$6,$D80:$O80)</f>
        <v>267.5</v>
      </c>
      <c r="S80" s="19">
        <f>AVERAGEIF($D$6:$O$6,S$6,$D80:$O80)</f>
        <v>286.225</v>
      </c>
    </row>
    <row r="81" spans="1:20">
      <c r="A81" s="6" t="s">
        <v>266</v>
      </c>
      <c r="B81" s="6" t="s">
        <v>252</v>
      </c>
      <c r="D81" s="22">
        <f t="shared" ref="D81:O81" si="14">D71*$C$30*$C$32</f>
        <v>0</v>
      </c>
      <c r="E81" s="22">
        <f t="shared" si="14"/>
        <v>0</v>
      </c>
      <c r="F81" s="22">
        <f t="shared" si="14"/>
        <v>56.557215</v>
      </c>
      <c r="G81" s="22">
        <f t="shared" si="14"/>
        <v>131.966835</v>
      </c>
      <c r="H81" s="22">
        <f t="shared" si="14"/>
        <v>393.506157</v>
      </c>
      <c r="I81" s="22">
        <f t="shared" si="14"/>
        <v>536.599305</v>
      </c>
      <c r="J81" s="22">
        <f t="shared" si="14"/>
        <v>643.919166</v>
      </c>
      <c r="K81" s="22">
        <f t="shared" si="14"/>
        <v>715.46574</v>
      </c>
      <c r="L81" s="22">
        <f t="shared" si="14"/>
        <v>1067.76813</v>
      </c>
      <c r="M81" s="22">
        <f t="shared" si="14"/>
        <v>1067.76813</v>
      </c>
      <c r="N81" s="22">
        <f t="shared" si="14"/>
        <v>1067.76813</v>
      </c>
      <c r="O81" s="22">
        <f t="shared" si="14"/>
        <v>1067.76813</v>
      </c>
      <c r="Q81" s="22">
        <f t="shared" ref="Q81:Q86" si="15">SUMIF($D$6:$O$6,Q$6,$D81:$O81)</f>
        <v>188.52405</v>
      </c>
      <c r="R81" s="22">
        <f t="shared" ref="R81:R86" si="16">SUMIF($D$6:$O$6,R$6,$D81:$O81)</f>
        <v>2289.490368</v>
      </c>
      <c r="S81" s="22">
        <f t="shared" ref="S81:S86" si="17">SUMIF($D$6:$O$6,S$6,$D81:$O81)</f>
        <v>4271.07252</v>
      </c>
      <c r="T81" s="23">
        <f t="shared" ref="T81:T86" si="18">SUM(Q81:S81)</f>
        <v>6749.086938</v>
      </c>
    </row>
    <row r="82" spans="1:20">
      <c r="A82" s="6" t="s">
        <v>267</v>
      </c>
      <c r="B82" s="6" t="s">
        <v>252</v>
      </c>
      <c r="D82" s="22">
        <f t="shared" ref="D82:O82" si="19">D71*$C$31</f>
        <v>0</v>
      </c>
      <c r="E82" s="22">
        <f t="shared" si="19"/>
        <v>0</v>
      </c>
      <c r="F82" s="22">
        <f t="shared" si="19"/>
        <v>1.247585625</v>
      </c>
      <c r="G82" s="22">
        <f t="shared" si="19"/>
        <v>2.911033125</v>
      </c>
      <c r="H82" s="22">
        <f t="shared" si="19"/>
        <v>8.680282875</v>
      </c>
      <c r="I82" s="22">
        <f t="shared" si="19"/>
        <v>11.836749375</v>
      </c>
      <c r="J82" s="22">
        <f t="shared" si="19"/>
        <v>14.20409925</v>
      </c>
      <c r="K82" s="22">
        <f t="shared" si="19"/>
        <v>15.7823325</v>
      </c>
      <c r="L82" s="22">
        <f t="shared" si="19"/>
        <v>23.55370875</v>
      </c>
      <c r="M82" s="22">
        <f t="shared" si="19"/>
        <v>23.55370875</v>
      </c>
      <c r="N82" s="22">
        <f t="shared" si="19"/>
        <v>23.55370875</v>
      </c>
      <c r="O82" s="22">
        <f t="shared" si="19"/>
        <v>23.55370875</v>
      </c>
      <c r="Q82" s="22">
        <f t="shared" si="15"/>
        <v>4.15861875</v>
      </c>
      <c r="R82" s="22">
        <f t="shared" si="16"/>
        <v>50.503464</v>
      </c>
      <c r="S82" s="22">
        <f t="shared" si="17"/>
        <v>94.2148350000001</v>
      </c>
      <c r="T82" s="23">
        <f t="shared" si="18"/>
        <v>148.87691775</v>
      </c>
    </row>
    <row r="83" spans="1:20">
      <c r="A83" s="24" t="s">
        <v>268</v>
      </c>
      <c r="B83" s="24" t="s">
        <v>252</v>
      </c>
      <c r="D83" s="25">
        <f t="shared" ref="D83:O83" si="20">D81-D82</f>
        <v>0</v>
      </c>
      <c r="E83" s="25">
        <f t="shared" si="20"/>
        <v>0</v>
      </c>
      <c r="F83" s="25">
        <f t="shared" si="20"/>
        <v>55.309629375</v>
      </c>
      <c r="G83" s="25">
        <f t="shared" si="20"/>
        <v>129.055801875</v>
      </c>
      <c r="H83" s="25">
        <f t="shared" si="20"/>
        <v>384.825874125</v>
      </c>
      <c r="I83" s="25">
        <f t="shared" si="20"/>
        <v>524.762555625</v>
      </c>
      <c r="J83" s="25">
        <f t="shared" si="20"/>
        <v>629.71506675</v>
      </c>
      <c r="K83" s="25">
        <f t="shared" si="20"/>
        <v>699.6834075</v>
      </c>
      <c r="L83" s="25">
        <f t="shared" si="20"/>
        <v>1044.21442125</v>
      </c>
      <c r="M83" s="25">
        <f t="shared" si="20"/>
        <v>1044.21442125</v>
      </c>
      <c r="N83" s="25">
        <f t="shared" si="20"/>
        <v>1044.21442125</v>
      </c>
      <c r="O83" s="25">
        <f t="shared" si="20"/>
        <v>1044.21442125</v>
      </c>
      <c r="Q83" s="26">
        <f t="shared" si="15"/>
        <v>184.36543125</v>
      </c>
      <c r="R83" s="26">
        <f t="shared" si="16"/>
        <v>2238.986904</v>
      </c>
      <c r="S83" s="26">
        <f t="shared" si="17"/>
        <v>4176.857685</v>
      </c>
      <c r="T83" s="26">
        <f t="shared" si="18"/>
        <v>6600.21002025</v>
      </c>
    </row>
    <row r="84" spans="1:20">
      <c r="A84" s="6" t="s">
        <v>269</v>
      </c>
      <c r="B84" s="6" t="s">
        <v>65</v>
      </c>
      <c r="D84" s="22">
        <f t="shared" ref="D84:O84" si="21">D83*D80/1000</f>
        <v>0</v>
      </c>
      <c r="E84" s="22">
        <f t="shared" si="21"/>
        <v>0</v>
      </c>
      <c r="F84" s="22">
        <f t="shared" si="21"/>
        <v>13.82740734375</v>
      </c>
      <c r="G84" s="22">
        <f t="shared" si="21"/>
        <v>32.26395046875</v>
      </c>
      <c r="H84" s="22">
        <f t="shared" si="21"/>
        <v>102.940921328438</v>
      </c>
      <c r="I84" s="22">
        <f t="shared" si="21"/>
        <v>140.373983629688</v>
      </c>
      <c r="J84" s="22">
        <f t="shared" si="21"/>
        <v>168.448780355625</v>
      </c>
      <c r="K84" s="22">
        <f t="shared" si="21"/>
        <v>187.16531150625</v>
      </c>
      <c r="L84" s="22">
        <f t="shared" si="21"/>
        <v>298.880272722281</v>
      </c>
      <c r="M84" s="22">
        <f t="shared" si="21"/>
        <v>298.880272722281</v>
      </c>
      <c r="N84" s="22">
        <f t="shared" si="21"/>
        <v>298.880272722281</v>
      </c>
      <c r="O84" s="22">
        <f t="shared" si="21"/>
        <v>298.880272722281</v>
      </c>
      <c r="Q84" s="22">
        <f t="shared" si="15"/>
        <v>46.0913578125</v>
      </c>
      <c r="R84" s="22">
        <f t="shared" si="16"/>
        <v>598.92899682</v>
      </c>
      <c r="S84" s="22">
        <f t="shared" si="17"/>
        <v>1195.52109088913</v>
      </c>
      <c r="T84" s="23">
        <f t="shared" si="18"/>
        <v>1840.54144552163</v>
      </c>
    </row>
    <row r="85" spans="1:20">
      <c r="A85" s="6" t="s">
        <v>270</v>
      </c>
      <c r="B85" s="6" t="s">
        <v>65</v>
      </c>
      <c r="D85" s="22">
        <f t="shared" ref="D85:O85" si="22">D77*$C$28/1000</f>
        <v>0</v>
      </c>
      <c r="E85" s="22">
        <f t="shared" si="22"/>
        <v>0</v>
      </c>
      <c r="F85" s="22">
        <f t="shared" si="22"/>
        <v>0</v>
      </c>
      <c r="G85" s="22">
        <f t="shared" si="22"/>
        <v>0</v>
      </c>
      <c r="H85" s="22">
        <f t="shared" si="22"/>
        <v>0.3969590625</v>
      </c>
      <c r="I85" s="22">
        <f t="shared" si="22"/>
        <v>0.9262378125</v>
      </c>
      <c r="J85" s="22">
        <f t="shared" si="22"/>
        <v>2.7619081875</v>
      </c>
      <c r="K85" s="22">
        <f t="shared" si="22"/>
        <v>3.7662384375</v>
      </c>
      <c r="L85" s="22">
        <f t="shared" si="22"/>
        <v>4.519486125</v>
      </c>
      <c r="M85" s="22">
        <f t="shared" si="22"/>
        <v>5.02165125</v>
      </c>
      <c r="N85" s="22">
        <f t="shared" si="22"/>
        <v>7.494361875</v>
      </c>
      <c r="O85" s="22">
        <f t="shared" si="22"/>
        <v>7.494361875</v>
      </c>
      <c r="Q85" s="22">
        <f t="shared" si="15"/>
        <v>0</v>
      </c>
      <c r="R85" s="22">
        <f t="shared" si="16"/>
        <v>7.8513435</v>
      </c>
      <c r="S85" s="22">
        <f t="shared" si="17"/>
        <v>24.529861125</v>
      </c>
      <c r="T85" s="23">
        <f t="shared" si="18"/>
        <v>32.381204625</v>
      </c>
    </row>
    <row r="86" spans="1:20">
      <c r="A86" s="6" t="s">
        <v>271</v>
      </c>
      <c r="B86" s="6" t="s">
        <v>65</v>
      </c>
      <c r="D86" s="22">
        <f t="shared" ref="D86:O86" si="23">D76*$C$29*D80/1000</f>
        <v>0</v>
      </c>
      <c r="E86" s="22">
        <f t="shared" si="23"/>
        <v>0</v>
      </c>
      <c r="F86" s="22">
        <f t="shared" si="23"/>
        <v>0</v>
      </c>
      <c r="G86" s="22">
        <f t="shared" si="23"/>
        <v>0</v>
      </c>
      <c r="H86" s="22">
        <f t="shared" si="23"/>
        <v>0.679593915</v>
      </c>
      <c r="I86" s="22">
        <f t="shared" si="23"/>
        <v>1.585719135</v>
      </c>
      <c r="J86" s="22">
        <f t="shared" si="23"/>
        <v>4.728386817</v>
      </c>
      <c r="K86" s="22">
        <f t="shared" si="23"/>
        <v>6.447800205</v>
      </c>
      <c r="L86" s="22">
        <f t="shared" si="23"/>
        <v>8.27897546322</v>
      </c>
      <c r="M86" s="22">
        <f t="shared" si="23"/>
        <v>9.1988616258</v>
      </c>
      <c r="N86" s="22">
        <f t="shared" si="23"/>
        <v>13.7284718571</v>
      </c>
      <c r="O86" s="22">
        <f t="shared" si="23"/>
        <v>13.7284718571</v>
      </c>
      <c r="Q86" s="22">
        <f t="shared" si="15"/>
        <v>0</v>
      </c>
      <c r="R86" s="22">
        <f t="shared" si="16"/>
        <v>13.441500072</v>
      </c>
      <c r="S86" s="22">
        <f t="shared" si="17"/>
        <v>44.93478080322</v>
      </c>
      <c r="T86" s="23">
        <f t="shared" si="18"/>
        <v>58.37628087522</v>
      </c>
    </row>
    <row r="87" spans="1:20">
      <c r="A87" s="6" t="s">
        <v>272</v>
      </c>
      <c r="B87" s="6" t="s">
        <v>273</v>
      </c>
      <c r="D87" s="19">
        <f t="shared" ref="D87:O87" si="24">$C$18*1000*D68*$C$37*D69</f>
        <v>0</v>
      </c>
      <c r="E87" s="19">
        <f t="shared" si="24"/>
        <v>0</v>
      </c>
      <c r="F87" s="19">
        <f t="shared" si="24"/>
        <v>596.7</v>
      </c>
      <c r="G87" s="19">
        <f t="shared" si="24"/>
        <v>1392.3</v>
      </c>
      <c r="H87" s="19">
        <f t="shared" si="24"/>
        <v>3478.2</v>
      </c>
      <c r="I87" s="19">
        <f t="shared" si="24"/>
        <v>4743</v>
      </c>
      <c r="J87" s="19">
        <f t="shared" si="24"/>
        <v>5691.6</v>
      </c>
      <c r="K87" s="19">
        <f t="shared" si="24"/>
        <v>6324</v>
      </c>
      <c r="L87" s="19">
        <f t="shared" si="24"/>
        <v>7956</v>
      </c>
      <c r="M87" s="19">
        <f t="shared" si="24"/>
        <v>7956</v>
      </c>
      <c r="N87" s="19">
        <f t="shared" si="24"/>
        <v>7956</v>
      </c>
      <c r="O87" s="19">
        <f t="shared" si="24"/>
        <v>7956</v>
      </c>
      <c r="Q87" s="19">
        <f>AVERAGEIF($D$6:$O$6,Q$6,$D87:$O87)</f>
        <v>497.25</v>
      </c>
      <c r="R87" s="19">
        <f>AVERAGEIF($D$6:$O$6,R$6,$D87:$O87)</f>
        <v>5059.2</v>
      </c>
      <c r="S87" s="19">
        <f>AVERAGEIF($D$6:$O$6,S$6,$D87:$O87)</f>
        <v>7956</v>
      </c>
    </row>
    <row r="88" spans="1:20">
      <c r="A88" s="6" t="s">
        <v>274</v>
      </c>
      <c r="B88" s="6" t="s">
        <v>252</v>
      </c>
      <c r="D88" s="19">
        <f t="shared" ref="D88:O88" si="25">D87*$C$38*3*$C$39</f>
        <v>0</v>
      </c>
      <c r="E88" s="19">
        <f t="shared" si="25"/>
        <v>0</v>
      </c>
      <c r="F88" s="19">
        <f t="shared" si="25"/>
        <v>23629.32</v>
      </c>
      <c r="G88" s="19">
        <f t="shared" si="25"/>
        <v>55135.08</v>
      </c>
      <c r="H88" s="19">
        <f t="shared" si="25"/>
        <v>137736.72</v>
      </c>
      <c r="I88" s="19">
        <f t="shared" si="25"/>
        <v>187822.8</v>
      </c>
      <c r="J88" s="19">
        <f t="shared" si="25"/>
        <v>225387.36</v>
      </c>
      <c r="K88" s="19">
        <f t="shared" si="25"/>
        <v>250430.4</v>
      </c>
      <c r="L88" s="19">
        <f t="shared" si="25"/>
        <v>315057.6</v>
      </c>
      <c r="M88" s="19">
        <f t="shared" si="25"/>
        <v>315057.6</v>
      </c>
      <c r="N88" s="19">
        <f t="shared" si="25"/>
        <v>315057.6</v>
      </c>
      <c r="O88" s="19">
        <f t="shared" si="25"/>
        <v>315057.6</v>
      </c>
      <c r="Q88" s="19">
        <f>SUMIF($D$6:$O$6,Q$6,$D88:$O88)</f>
        <v>78764.4</v>
      </c>
      <c r="R88" s="19">
        <f>SUMIF($D$6:$O$6,R$6,$D88:$O88)</f>
        <v>801377.28</v>
      </c>
      <c r="S88" s="19">
        <f>SUMIF($D$6:$O$6,S$6,$D88:$O88)</f>
        <v>1260230.4</v>
      </c>
      <c r="T88" s="10">
        <f>SUM(Q88:S88)</f>
        <v>2140372.08</v>
      </c>
    </row>
    <row r="89" spans="1:20">
      <c r="A89" s="6" t="s">
        <v>275</v>
      </c>
      <c r="B89" s="6" t="s">
        <v>65</v>
      </c>
      <c r="D89" s="22">
        <f t="shared" ref="D89:O89" si="26">D88*$C$40/1000</f>
        <v>0</v>
      </c>
      <c r="E89" s="22">
        <f t="shared" si="26"/>
        <v>0</v>
      </c>
      <c r="F89" s="22">
        <f t="shared" si="26"/>
        <v>2.5992252</v>
      </c>
      <c r="G89" s="22">
        <f t="shared" si="26"/>
        <v>6.0648588</v>
      </c>
      <c r="H89" s="22">
        <f t="shared" si="26"/>
        <v>15.1510392</v>
      </c>
      <c r="I89" s="22">
        <f t="shared" si="26"/>
        <v>20.660508</v>
      </c>
      <c r="J89" s="22">
        <f t="shared" si="26"/>
        <v>24.7926096</v>
      </c>
      <c r="K89" s="22">
        <f t="shared" si="26"/>
        <v>27.547344</v>
      </c>
      <c r="L89" s="22">
        <f t="shared" si="26"/>
        <v>34.656336</v>
      </c>
      <c r="M89" s="22">
        <f t="shared" si="26"/>
        <v>34.656336</v>
      </c>
      <c r="N89" s="22">
        <f t="shared" si="26"/>
        <v>34.656336</v>
      </c>
      <c r="O89" s="22">
        <f t="shared" si="26"/>
        <v>34.656336</v>
      </c>
      <c r="Q89" s="22">
        <f>SUMIF($D$6:$O$6,Q$6,$D89:$O89)</f>
        <v>8.664084</v>
      </c>
      <c r="R89" s="22">
        <f>SUMIF($D$6:$O$6,R$6,$D89:$O89)</f>
        <v>88.1515008</v>
      </c>
      <c r="S89" s="22">
        <f>SUMIF($D$6:$O$6,S$6,$D89:$O89)</f>
        <v>138.625344</v>
      </c>
      <c r="T89" s="23">
        <f>SUM(Q89:S89)</f>
        <v>235.4409288</v>
      </c>
    </row>
    <row r="90" spans="1:20">
      <c r="A90" s="6" t="s">
        <v>276</v>
      </c>
      <c r="B90" s="6" t="s">
        <v>65</v>
      </c>
      <c r="D90" s="22">
        <f t="shared" ref="D90:O90" si="27">D87*$C$41/4*$C$42/1000</f>
        <v>0</v>
      </c>
      <c r="E90" s="22">
        <f t="shared" si="27"/>
        <v>0</v>
      </c>
      <c r="F90" s="22">
        <f t="shared" si="27"/>
        <v>1.49175</v>
      </c>
      <c r="G90" s="22">
        <f t="shared" si="27"/>
        <v>3.48075</v>
      </c>
      <c r="H90" s="22">
        <f t="shared" si="27"/>
        <v>8.6955</v>
      </c>
      <c r="I90" s="22">
        <f t="shared" si="27"/>
        <v>11.8575</v>
      </c>
      <c r="J90" s="22">
        <f t="shared" si="27"/>
        <v>14.229</v>
      </c>
      <c r="K90" s="22">
        <f t="shared" si="27"/>
        <v>15.81</v>
      </c>
      <c r="L90" s="22">
        <f t="shared" si="27"/>
        <v>19.89</v>
      </c>
      <c r="M90" s="22">
        <f t="shared" si="27"/>
        <v>19.89</v>
      </c>
      <c r="N90" s="22">
        <f t="shared" si="27"/>
        <v>19.89</v>
      </c>
      <c r="O90" s="22">
        <f t="shared" si="27"/>
        <v>19.89</v>
      </c>
      <c r="Q90" s="22">
        <f>SUMIF($D$6:$O$6,Q$6,$D90:$O90)</f>
        <v>4.9725</v>
      </c>
      <c r="R90" s="22">
        <f>SUMIF($D$6:$O$6,R$6,$D90:$O90)</f>
        <v>50.592</v>
      </c>
      <c r="S90" s="22">
        <f>SUMIF($D$6:$O$6,S$6,$D90:$O90)</f>
        <v>79.56</v>
      </c>
      <c r="T90" s="23">
        <f>SUM(Q90:S90)</f>
        <v>135.1245</v>
      </c>
    </row>
    <row r="91" spans="1:20">
      <c r="A91" s="24" t="s">
        <v>39</v>
      </c>
      <c r="B91" s="24" t="s">
        <v>65</v>
      </c>
      <c r="D91" s="25">
        <f t="shared" ref="D91:O91" si="28">D84+D85+D86+D89+D90</f>
        <v>0</v>
      </c>
      <c r="E91" s="25">
        <f t="shared" si="28"/>
        <v>0</v>
      </c>
      <c r="F91" s="25">
        <f t="shared" si="28"/>
        <v>17.91838254375</v>
      </c>
      <c r="G91" s="25">
        <f t="shared" si="28"/>
        <v>41.80955926875</v>
      </c>
      <c r="H91" s="25">
        <f t="shared" si="28"/>
        <v>127.864013505938</v>
      </c>
      <c r="I91" s="25">
        <f t="shared" si="28"/>
        <v>175.403948577188</v>
      </c>
      <c r="J91" s="25">
        <f t="shared" si="28"/>
        <v>214.960684960125</v>
      </c>
      <c r="K91" s="25">
        <f t="shared" si="28"/>
        <v>240.73669414875</v>
      </c>
      <c r="L91" s="25">
        <f t="shared" si="28"/>
        <v>366.225070310501</v>
      </c>
      <c r="M91" s="25">
        <f t="shared" si="28"/>
        <v>367.647121598081</v>
      </c>
      <c r="N91" s="25">
        <f t="shared" si="28"/>
        <v>374.649442454381</v>
      </c>
      <c r="O91" s="25">
        <f t="shared" si="28"/>
        <v>374.649442454381</v>
      </c>
      <c r="Q91" s="26">
        <f>SUMIF($D$6:$O$6,Q$6,$D91:$O91)</f>
        <v>59.7279418125</v>
      </c>
      <c r="R91" s="26">
        <f>SUMIF($D$6:$O$6,R$6,$D91:$O91)</f>
        <v>758.965341192</v>
      </c>
      <c r="S91" s="26">
        <f>SUMIF($D$6:$O$6,S$6,$D91:$O91)</f>
        <v>1483.17107681735</v>
      </c>
      <c r="T91" s="26">
        <f>SUM(Q91:S91)</f>
        <v>2301.86435982185</v>
      </c>
    </row>
    <row r="92" spans="1:20">
      <c r="A92" s="24" t="s">
        <v>277</v>
      </c>
      <c r="B92" s="24" t="s">
        <v>65</v>
      </c>
      <c r="D92" s="25">
        <f t="shared" ref="D92:O92" si="29">D91*$C$13</f>
        <v>0</v>
      </c>
      <c r="E92" s="25">
        <f t="shared" si="29"/>
        <v>0</v>
      </c>
      <c r="F92" s="25">
        <f t="shared" si="29"/>
        <v>15.2306251621875</v>
      </c>
      <c r="G92" s="25">
        <f t="shared" si="29"/>
        <v>35.5381253784375</v>
      </c>
      <c r="H92" s="25">
        <f t="shared" si="29"/>
        <v>108.684411480047</v>
      </c>
      <c r="I92" s="25">
        <f t="shared" si="29"/>
        <v>149.093356290609</v>
      </c>
      <c r="J92" s="25">
        <f t="shared" si="29"/>
        <v>182.716582216106</v>
      </c>
      <c r="K92" s="25">
        <f t="shared" si="29"/>
        <v>204.626190026437</v>
      </c>
      <c r="L92" s="25">
        <f t="shared" si="29"/>
        <v>311.291309763926</v>
      </c>
      <c r="M92" s="25">
        <f t="shared" si="29"/>
        <v>312.500053358369</v>
      </c>
      <c r="N92" s="25">
        <f t="shared" si="29"/>
        <v>318.452026086224</v>
      </c>
      <c r="O92" s="25">
        <f t="shared" si="29"/>
        <v>318.452026086224</v>
      </c>
      <c r="Q92" s="26">
        <f>SUMIF($D$6:$O$6,Q$6,$D92:$O92)</f>
        <v>50.768750540625</v>
      </c>
      <c r="R92" s="26">
        <f>SUMIF($D$6:$O$6,R$6,$D92:$O92)</f>
        <v>645.1205400132</v>
      </c>
      <c r="S92" s="26">
        <f>SUMIF($D$6:$O$6,S$6,$D92:$O92)</f>
        <v>1260.69541529474</v>
      </c>
      <c r="T92" s="26">
        <f>SUM(Q92:S92)</f>
        <v>1956.58470584857</v>
      </c>
    </row>
    <row r="94" spans="1:20">
      <c r="A94" s="12" t="s">
        <v>278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>
      <c r="A95" s="6" t="s">
        <v>279</v>
      </c>
      <c r="B95" s="6" t="s">
        <v>153</v>
      </c>
      <c r="D95" s="27">
        <f t="shared" ref="D95:O95" si="30">INDEX($C$43:$C$45,D$6)</f>
        <v>15</v>
      </c>
      <c r="E95" s="27">
        <f t="shared" si="30"/>
        <v>15</v>
      </c>
      <c r="F95" s="27">
        <f t="shared" si="30"/>
        <v>15</v>
      </c>
      <c r="G95" s="27">
        <f t="shared" si="30"/>
        <v>15</v>
      </c>
      <c r="H95" s="27">
        <f t="shared" si="30"/>
        <v>19</v>
      </c>
      <c r="I95" s="27">
        <f t="shared" si="30"/>
        <v>19</v>
      </c>
      <c r="J95" s="27">
        <f t="shared" si="30"/>
        <v>19</v>
      </c>
      <c r="K95" s="27">
        <f t="shared" si="30"/>
        <v>19</v>
      </c>
      <c r="L95" s="27">
        <f t="shared" si="30"/>
        <v>20</v>
      </c>
      <c r="M95" s="27">
        <f t="shared" si="30"/>
        <v>20</v>
      </c>
      <c r="N95" s="27">
        <f t="shared" si="30"/>
        <v>20</v>
      </c>
      <c r="O95" s="27">
        <f t="shared" si="30"/>
        <v>20</v>
      </c>
      <c r="Q95" s="27">
        <f>AVERAGEIF($D$6:$O$6,Q$6,$D95:$O95)</f>
        <v>15</v>
      </c>
      <c r="R95" s="27">
        <f>AVERAGEIF($D$6:$O$6,R$6,$D95:$O95)</f>
        <v>19</v>
      </c>
      <c r="S95" s="27">
        <f>AVERAGEIF($D$6:$O$6,S$6,$D95:$O95)</f>
        <v>20</v>
      </c>
    </row>
    <row r="96" spans="1:20">
      <c r="A96" s="6" t="s">
        <v>280</v>
      </c>
      <c r="B96" s="6" t="s">
        <v>65</v>
      </c>
      <c r="D96" s="22">
        <f t="shared" ref="D96:O96" si="31">D95*$C$46*3*(1+$C$47)^(D$6-1)/1000</f>
        <v>20.25</v>
      </c>
      <c r="E96" s="22">
        <f t="shared" si="31"/>
        <v>20.25</v>
      </c>
      <c r="F96" s="22">
        <f t="shared" si="31"/>
        <v>20.25</v>
      </c>
      <c r="G96" s="22">
        <f t="shared" si="31"/>
        <v>20.25</v>
      </c>
      <c r="H96" s="22">
        <f t="shared" si="31"/>
        <v>27.702</v>
      </c>
      <c r="I96" s="22">
        <f t="shared" si="31"/>
        <v>27.702</v>
      </c>
      <c r="J96" s="22">
        <f t="shared" si="31"/>
        <v>27.702</v>
      </c>
      <c r="K96" s="22">
        <f t="shared" si="31"/>
        <v>27.702</v>
      </c>
      <c r="L96" s="22">
        <f t="shared" si="31"/>
        <v>31.4928</v>
      </c>
      <c r="M96" s="22">
        <f t="shared" si="31"/>
        <v>31.4928</v>
      </c>
      <c r="N96" s="22">
        <f t="shared" si="31"/>
        <v>31.4928</v>
      </c>
      <c r="O96" s="22">
        <f t="shared" si="31"/>
        <v>31.4928</v>
      </c>
      <c r="Q96" s="22">
        <f t="shared" ref="Q96:Q105" si="32">SUMIF($D$6:$O$6,Q$6,$D96:$O96)</f>
        <v>81</v>
      </c>
      <c r="R96" s="22">
        <f t="shared" ref="R96:R105" si="33">SUMIF($D$6:$O$6,R$6,$D96:$O96)</f>
        <v>110.808</v>
      </c>
      <c r="S96" s="22">
        <f t="shared" ref="S96:S105" si="34">SUMIF($D$6:$O$6,S$6,$D96:$O96)</f>
        <v>125.9712</v>
      </c>
      <c r="T96" s="23">
        <f t="shared" ref="T96:T105" si="35">SUM(Q96:S96)</f>
        <v>317.7792</v>
      </c>
    </row>
    <row r="97" spans="1:20">
      <c r="A97" s="6" t="s">
        <v>281</v>
      </c>
      <c r="B97" s="6" t="s">
        <v>252</v>
      </c>
      <c r="D97" s="19">
        <f t="shared" ref="D97:O97" si="36">D74*(1+$C$48)</f>
        <v>0</v>
      </c>
      <c r="E97" s="19">
        <f t="shared" si="36"/>
        <v>0</v>
      </c>
      <c r="F97" s="19">
        <f t="shared" si="36"/>
        <v>453.6675</v>
      </c>
      <c r="G97" s="19">
        <f t="shared" si="36"/>
        <v>1058.5575</v>
      </c>
      <c r="H97" s="19">
        <f t="shared" si="36"/>
        <v>3156.4665</v>
      </c>
      <c r="I97" s="19">
        <f t="shared" si="36"/>
        <v>4304.2725</v>
      </c>
      <c r="J97" s="19">
        <f t="shared" si="36"/>
        <v>5165.127</v>
      </c>
      <c r="K97" s="19">
        <f t="shared" si="36"/>
        <v>5739.03</v>
      </c>
      <c r="L97" s="19">
        <f t="shared" si="36"/>
        <v>8564.985</v>
      </c>
      <c r="M97" s="19">
        <f t="shared" si="36"/>
        <v>8564.985</v>
      </c>
      <c r="N97" s="19">
        <f t="shared" si="36"/>
        <v>8564.985</v>
      </c>
      <c r="O97" s="19">
        <f t="shared" si="36"/>
        <v>8564.985</v>
      </c>
      <c r="Q97" s="19">
        <f t="shared" si="32"/>
        <v>1512.225</v>
      </c>
      <c r="R97" s="19">
        <f t="shared" si="33"/>
        <v>18364.896</v>
      </c>
      <c r="S97" s="19">
        <f t="shared" si="34"/>
        <v>34259.94</v>
      </c>
      <c r="T97" s="10">
        <f t="shared" si="35"/>
        <v>54137.061</v>
      </c>
    </row>
    <row r="98" spans="1:20">
      <c r="A98" s="6" t="s">
        <v>282</v>
      </c>
      <c r="B98" s="6" t="s">
        <v>65</v>
      </c>
      <c r="D98" s="22">
        <f t="shared" ref="D98:O98" si="37">D97*$C$49/1000</f>
        <v>0</v>
      </c>
      <c r="E98" s="22">
        <f t="shared" si="37"/>
        <v>0</v>
      </c>
      <c r="F98" s="22">
        <f t="shared" si="37"/>
        <v>0.4536675</v>
      </c>
      <c r="G98" s="22">
        <f t="shared" si="37"/>
        <v>1.0585575</v>
      </c>
      <c r="H98" s="22">
        <f t="shared" si="37"/>
        <v>3.1564665</v>
      </c>
      <c r="I98" s="22">
        <f t="shared" si="37"/>
        <v>4.3042725</v>
      </c>
      <c r="J98" s="22">
        <f t="shared" si="37"/>
        <v>5.165127</v>
      </c>
      <c r="K98" s="22">
        <f t="shared" si="37"/>
        <v>5.73903</v>
      </c>
      <c r="L98" s="22">
        <f t="shared" si="37"/>
        <v>8.564985</v>
      </c>
      <c r="M98" s="22">
        <f t="shared" si="37"/>
        <v>8.564985</v>
      </c>
      <c r="N98" s="22">
        <f t="shared" si="37"/>
        <v>8.564985</v>
      </c>
      <c r="O98" s="22">
        <f t="shared" si="37"/>
        <v>8.564985</v>
      </c>
      <c r="Q98" s="22">
        <f t="shared" si="32"/>
        <v>1.512225</v>
      </c>
      <c r="R98" s="22">
        <f t="shared" si="33"/>
        <v>18.364896</v>
      </c>
      <c r="S98" s="22">
        <f t="shared" si="34"/>
        <v>34.25994</v>
      </c>
      <c r="T98" s="23">
        <f t="shared" si="35"/>
        <v>54.137061</v>
      </c>
    </row>
    <row r="99" spans="1:20">
      <c r="A99" s="6" t="s">
        <v>283</v>
      </c>
      <c r="B99" s="6" t="s">
        <v>65</v>
      </c>
      <c r="D99" s="22">
        <f t="shared" ref="D99:O99" si="38">D97*$C$50*$C$51/1000</f>
        <v>0</v>
      </c>
      <c r="E99" s="22">
        <f t="shared" si="38"/>
        <v>0</v>
      </c>
      <c r="F99" s="22">
        <f t="shared" si="38"/>
        <v>0.2722005</v>
      </c>
      <c r="G99" s="22">
        <f t="shared" si="38"/>
        <v>0.6351345</v>
      </c>
      <c r="H99" s="22">
        <f t="shared" si="38"/>
        <v>1.8938799</v>
      </c>
      <c r="I99" s="22">
        <f t="shared" si="38"/>
        <v>2.5825635</v>
      </c>
      <c r="J99" s="22">
        <f t="shared" si="38"/>
        <v>3.0990762</v>
      </c>
      <c r="K99" s="22">
        <f t="shared" si="38"/>
        <v>3.443418</v>
      </c>
      <c r="L99" s="22">
        <f t="shared" si="38"/>
        <v>5.138991</v>
      </c>
      <c r="M99" s="22">
        <f t="shared" si="38"/>
        <v>5.138991</v>
      </c>
      <c r="N99" s="22">
        <f t="shared" si="38"/>
        <v>5.138991</v>
      </c>
      <c r="O99" s="22">
        <f t="shared" si="38"/>
        <v>5.138991</v>
      </c>
      <c r="Q99" s="22">
        <f t="shared" si="32"/>
        <v>0.907335</v>
      </c>
      <c r="R99" s="22">
        <f t="shared" si="33"/>
        <v>11.0189376</v>
      </c>
      <c r="S99" s="22">
        <f t="shared" si="34"/>
        <v>20.555964</v>
      </c>
      <c r="T99" s="23">
        <f t="shared" si="35"/>
        <v>32.4822366</v>
      </c>
    </row>
    <row r="100" spans="1:20">
      <c r="A100" s="6" t="s">
        <v>284</v>
      </c>
      <c r="B100" s="6" t="s">
        <v>65</v>
      </c>
      <c r="D100" s="22">
        <f t="shared" ref="D100:O100" si="39">D74*$C$52/1000+IF(D$5&gt;=$C$54,$C$53,0)</f>
        <v>0</v>
      </c>
      <c r="E100" s="22">
        <f t="shared" si="39"/>
        <v>3</v>
      </c>
      <c r="F100" s="22">
        <f t="shared" si="39"/>
        <v>3.302445</v>
      </c>
      <c r="G100" s="22">
        <f t="shared" si="39"/>
        <v>3.705705</v>
      </c>
      <c r="H100" s="22">
        <f t="shared" si="39"/>
        <v>5.104311</v>
      </c>
      <c r="I100" s="22">
        <f t="shared" si="39"/>
        <v>5.869515</v>
      </c>
      <c r="J100" s="22">
        <f t="shared" si="39"/>
        <v>6.443418</v>
      </c>
      <c r="K100" s="22">
        <f t="shared" si="39"/>
        <v>6.82602</v>
      </c>
      <c r="L100" s="22">
        <f t="shared" si="39"/>
        <v>8.70999</v>
      </c>
      <c r="M100" s="22">
        <f t="shared" si="39"/>
        <v>8.70999</v>
      </c>
      <c r="N100" s="22">
        <f t="shared" si="39"/>
        <v>8.70999</v>
      </c>
      <c r="O100" s="22">
        <f t="shared" si="39"/>
        <v>8.70999</v>
      </c>
      <c r="Q100" s="22">
        <f t="shared" si="32"/>
        <v>10.00815</v>
      </c>
      <c r="R100" s="22">
        <f t="shared" si="33"/>
        <v>24.243264</v>
      </c>
      <c r="S100" s="22">
        <f t="shared" si="34"/>
        <v>34.83996</v>
      </c>
      <c r="T100" s="23">
        <f t="shared" si="35"/>
        <v>69.091374</v>
      </c>
    </row>
    <row r="101" spans="1:20">
      <c r="A101" s="6" t="s">
        <v>285</v>
      </c>
      <c r="B101" s="6" t="s">
        <v>65</v>
      </c>
      <c r="D101" s="22">
        <f t="shared" ref="D101:O101" si="40">MIN(D74*$C$55*$C$56/1000,$C$57/4)</f>
        <v>0</v>
      </c>
      <c r="E101" s="22">
        <f t="shared" si="40"/>
        <v>0</v>
      </c>
      <c r="F101" s="22">
        <f t="shared" si="40"/>
        <v>1.89028125</v>
      </c>
      <c r="G101" s="22">
        <f t="shared" si="40"/>
        <v>4.41065625</v>
      </c>
      <c r="H101" s="22">
        <f t="shared" si="40"/>
        <v>13.15194375</v>
      </c>
      <c r="I101" s="22">
        <f t="shared" si="40"/>
        <v>17.93446875</v>
      </c>
      <c r="J101" s="22">
        <f t="shared" si="40"/>
        <v>21.5213625</v>
      </c>
      <c r="K101" s="22">
        <f t="shared" si="40"/>
        <v>23.912625</v>
      </c>
      <c r="L101" s="22">
        <f t="shared" si="40"/>
        <v>35.6874375</v>
      </c>
      <c r="M101" s="22">
        <f t="shared" si="40"/>
        <v>35.6874375</v>
      </c>
      <c r="N101" s="22">
        <f t="shared" si="40"/>
        <v>35.6874375</v>
      </c>
      <c r="O101" s="22">
        <f t="shared" si="40"/>
        <v>35.6874375</v>
      </c>
      <c r="Q101" s="22">
        <f t="shared" si="32"/>
        <v>6.3009375</v>
      </c>
      <c r="R101" s="22">
        <f t="shared" si="33"/>
        <v>76.5204</v>
      </c>
      <c r="S101" s="22">
        <f t="shared" si="34"/>
        <v>142.74975</v>
      </c>
      <c r="T101" s="23">
        <f t="shared" si="35"/>
        <v>225.5710875</v>
      </c>
    </row>
    <row r="102" spans="1:20">
      <c r="A102" s="6" t="s">
        <v>286</v>
      </c>
      <c r="B102" s="6" t="s">
        <v>65</v>
      </c>
      <c r="D102" s="22">
        <f t="shared" ref="D102:O102" si="41">IF(AND(D$5&gt;=$C$60,D$5&lt;=$C$61),$C$59/($C$61-$C$60+1),0)+IF(D$5&gt;$C$61,$C$62,0)</f>
        <v>0</v>
      </c>
      <c r="E102" s="22">
        <f t="shared" si="41"/>
        <v>0</v>
      </c>
      <c r="F102" s="22">
        <f t="shared" si="41"/>
        <v>40</v>
      </c>
      <c r="G102" s="22">
        <f t="shared" si="41"/>
        <v>40</v>
      </c>
      <c r="H102" s="22">
        <f t="shared" si="41"/>
        <v>8</v>
      </c>
      <c r="I102" s="22">
        <f t="shared" si="41"/>
        <v>8</v>
      </c>
      <c r="J102" s="22">
        <f t="shared" si="41"/>
        <v>8</v>
      </c>
      <c r="K102" s="22">
        <f t="shared" si="41"/>
        <v>8</v>
      </c>
      <c r="L102" s="22">
        <f t="shared" si="41"/>
        <v>8</v>
      </c>
      <c r="M102" s="22">
        <f t="shared" si="41"/>
        <v>8</v>
      </c>
      <c r="N102" s="22">
        <f t="shared" si="41"/>
        <v>8</v>
      </c>
      <c r="O102" s="22">
        <f t="shared" si="41"/>
        <v>8</v>
      </c>
      <c r="Q102" s="22">
        <f t="shared" si="32"/>
        <v>80</v>
      </c>
      <c r="R102" s="22">
        <f t="shared" si="33"/>
        <v>32</v>
      </c>
      <c r="S102" s="22">
        <f t="shared" si="34"/>
        <v>32</v>
      </c>
      <c r="T102" s="23">
        <f t="shared" si="35"/>
        <v>144</v>
      </c>
    </row>
    <row r="103" spans="1:20">
      <c r="A103" s="6" t="s">
        <v>287</v>
      </c>
      <c r="B103" s="6" t="s">
        <v>65</v>
      </c>
      <c r="D103" s="22">
        <f t="shared" ref="D103:O103" si="42">D96+D98+D99+D100+D101+D102</f>
        <v>20.25</v>
      </c>
      <c r="E103" s="22">
        <f t="shared" si="42"/>
        <v>23.25</v>
      </c>
      <c r="F103" s="22">
        <f t="shared" si="42"/>
        <v>66.16859425</v>
      </c>
      <c r="G103" s="22">
        <f t="shared" si="42"/>
        <v>70.06005325</v>
      </c>
      <c r="H103" s="22">
        <f t="shared" si="42"/>
        <v>59.00860115</v>
      </c>
      <c r="I103" s="22">
        <f t="shared" si="42"/>
        <v>66.39281975</v>
      </c>
      <c r="J103" s="22">
        <f t="shared" si="42"/>
        <v>71.9309837</v>
      </c>
      <c r="K103" s="22">
        <f t="shared" si="42"/>
        <v>75.623093</v>
      </c>
      <c r="L103" s="22">
        <f t="shared" si="42"/>
        <v>97.5942035</v>
      </c>
      <c r="M103" s="22">
        <f t="shared" si="42"/>
        <v>97.5942035</v>
      </c>
      <c r="N103" s="22">
        <f t="shared" si="42"/>
        <v>97.5942035</v>
      </c>
      <c r="O103" s="22">
        <f t="shared" si="42"/>
        <v>97.5942035</v>
      </c>
      <c r="Q103" s="22">
        <f t="shared" si="32"/>
        <v>179.7286475</v>
      </c>
      <c r="R103" s="22">
        <f t="shared" si="33"/>
        <v>272.9554976</v>
      </c>
      <c r="S103" s="22">
        <f t="shared" si="34"/>
        <v>390.376814</v>
      </c>
      <c r="T103" s="23">
        <f t="shared" si="35"/>
        <v>843.0609591</v>
      </c>
    </row>
    <row r="104" spans="1:20">
      <c r="A104" s="6" t="s">
        <v>288</v>
      </c>
      <c r="B104" s="6" t="s">
        <v>65</v>
      </c>
      <c r="D104" s="22">
        <f t="shared" ref="D104:O104" si="43">D103*$C$58</f>
        <v>2.025</v>
      </c>
      <c r="E104" s="22">
        <f t="shared" si="43"/>
        <v>2.325</v>
      </c>
      <c r="F104" s="22">
        <f t="shared" si="43"/>
        <v>6.616859425</v>
      </c>
      <c r="G104" s="22">
        <f t="shared" si="43"/>
        <v>7.006005325</v>
      </c>
      <c r="H104" s="22">
        <f t="shared" si="43"/>
        <v>5.900860115</v>
      </c>
      <c r="I104" s="22">
        <f t="shared" si="43"/>
        <v>6.639281975</v>
      </c>
      <c r="J104" s="22">
        <f t="shared" si="43"/>
        <v>7.19309837</v>
      </c>
      <c r="K104" s="22">
        <f t="shared" si="43"/>
        <v>7.5623093</v>
      </c>
      <c r="L104" s="22">
        <f t="shared" si="43"/>
        <v>9.75942035</v>
      </c>
      <c r="M104" s="22">
        <f t="shared" si="43"/>
        <v>9.75942035</v>
      </c>
      <c r="N104" s="22">
        <f t="shared" si="43"/>
        <v>9.75942035</v>
      </c>
      <c r="O104" s="22">
        <f t="shared" si="43"/>
        <v>9.75942035</v>
      </c>
      <c r="Q104" s="22">
        <f t="shared" si="32"/>
        <v>17.97286475</v>
      </c>
      <c r="R104" s="22">
        <f t="shared" si="33"/>
        <v>27.29554976</v>
      </c>
      <c r="S104" s="22">
        <f t="shared" si="34"/>
        <v>39.0376814</v>
      </c>
      <c r="T104" s="23">
        <f t="shared" si="35"/>
        <v>84.30609591</v>
      </c>
    </row>
    <row r="105" spans="1:20">
      <c r="A105" s="24" t="s">
        <v>47</v>
      </c>
      <c r="B105" s="24" t="s">
        <v>65</v>
      </c>
      <c r="D105" s="25">
        <f t="shared" ref="D105:O105" si="44">D103+D104</f>
        <v>22.275</v>
      </c>
      <c r="E105" s="25">
        <f t="shared" si="44"/>
        <v>25.575</v>
      </c>
      <c r="F105" s="25">
        <f t="shared" si="44"/>
        <v>72.785453675</v>
      </c>
      <c r="G105" s="25">
        <f t="shared" si="44"/>
        <v>77.066058575</v>
      </c>
      <c r="H105" s="25">
        <f t="shared" si="44"/>
        <v>64.909461265</v>
      </c>
      <c r="I105" s="25">
        <f t="shared" si="44"/>
        <v>73.032101725</v>
      </c>
      <c r="J105" s="25">
        <f t="shared" si="44"/>
        <v>79.12408207</v>
      </c>
      <c r="K105" s="25">
        <f t="shared" si="44"/>
        <v>83.1854023</v>
      </c>
      <c r="L105" s="25">
        <f t="shared" si="44"/>
        <v>107.35362385</v>
      </c>
      <c r="M105" s="25">
        <f t="shared" si="44"/>
        <v>107.35362385</v>
      </c>
      <c r="N105" s="25">
        <f t="shared" si="44"/>
        <v>107.35362385</v>
      </c>
      <c r="O105" s="25">
        <f t="shared" si="44"/>
        <v>107.35362385</v>
      </c>
      <c r="Q105" s="26">
        <f t="shared" si="32"/>
        <v>197.70151225</v>
      </c>
      <c r="R105" s="26">
        <f t="shared" si="33"/>
        <v>300.25104736</v>
      </c>
      <c r="S105" s="26">
        <f t="shared" si="34"/>
        <v>429.4144954</v>
      </c>
      <c r="T105" s="26">
        <f t="shared" si="35"/>
        <v>927.36705501</v>
      </c>
    </row>
    <row r="107" spans="1:20">
      <c r="A107" s="12" t="s">
        <v>289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>
      <c r="A108" s="24" t="s">
        <v>48</v>
      </c>
      <c r="B108" s="24" t="s">
        <v>65</v>
      </c>
      <c r="D108" s="25">
        <f t="shared" ref="D108:O108" si="45">D92-D105</f>
        <v>-22.275</v>
      </c>
      <c r="E108" s="25">
        <f t="shared" si="45"/>
        <v>-25.575</v>
      </c>
      <c r="F108" s="25">
        <f t="shared" si="45"/>
        <v>-57.5548285128125</v>
      </c>
      <c r="G108" s="25">
        <f t="shared" si="45"/>
        <v>-41.5279331965625</v>
      </c>
      <c r="H108" s="25">
        <f t="shared" si="45"/>
        <v>43.7749502150469</v>
      </c>
      <c r="I108" s="25">
        <f t="shared" si="45"/>
        <v>76.0612545656094</v>
      </c>
      <c r="J108" s="25">
        <f t="shared" si="45"/>
        <v>103.592500146106</v>
      </c>
      <c r="K108" s="25">
        <f t="shared" si="45"/>
        <v>121.440787726437</v>
      </c>
      <c r="L108" s="25">
        <f t="shared" si="45"/>
        <v>203.937685913926</v>
      </c>
      <c r="M108" s="25">
        <f t="shared" si="45"/>
        <v>205.146429508369</v>
      </c>
      <c r="N108" s="25">
        <f t="shared" si="45"/>
        <v>211.098402236224</v>
      </c>
      <c r="O108" s="25">
        <f t="shared" si="45"/>
        <v>211.098402236224</v>
      </c>
      <c r="Q108" s="26">
        <f>SUMIF($D$6:$O$6,Q$6,$D108:$O108)</f>
        <v>-146.932761709375</v>
      </c>
      <c r="R108" s="26">
        <f>SUMIF($D$6:$O$6,R$6,$D108:$O108)</f>
        <v>344.8694926532</v>
      </c>
      <c r="S108" s="26">
        <f>SUMIF($D$6:$O$6,S$6,$D108:$O108)</f>
        <v>831.280919894744</v>
      </c>
      <c r="T108" s="26">
        <f>SUM(Q108:S108)</f>
        <v>1029.21765083857</v>
      </c>
    </row>
    <row r="109" spans="1:20">
      <c r="A109" s="24" t="s">
        <v>290</v>
      </c>
      <c r="B109" s="24" t="s">
        <v>65</v>
      </c>
      <c r="D109" s="25">
        <f>SUM($D108:D108)</f>
        <v>-22.275</v>
      </c>
      <c r="E109" s="25">
        <f>SUM($D108:E108)</f>
        <v>-47.85</v>
      </c>
      <c r="F109" s="25">
        <f>SUM($D108:F108)</f>
        <v>-105.404828512812</v>
      </c>
      <c r="G109" s="25">
        <f>SUM($D108:G108)</f>
        <v>-146.932761709375</v>
      </c>
      <c r="H109" s="25">
        <f>SUM($D108:H108)</f>
        <v>-103.157811494328</v>
      </c>
      <c r="I109" s="25">
        <f>SUM($D108:I108)</f>
        <v>-27.0965569287188</v>
      </c>
      <c r="J109" s="25">
        <f>SUM($D108:J108)</f>
        <v>76.4959432173875</v>
      </c>
      <c r="K109" s="25">
        <f>SUM($D108:K108)</f>
        <v>197.936730943825</v>
      </c>
      <c r="L109" s="25">
        <f>SUM($D108:L108)</f>
        <v>401.874416857751</v>
      </c>
      <c r="M109" s="25">
        <f>SUM($D108:M108)</f>
        <v>607.02084636612</v>
      </c>
      <c r="N109" s="25">
        <f>SUM($D108:N108)</f>
        <v>818.119248602345</v>
      </c>
      <c r="O109" s="25">
        <f>SUM($D108:O108)</f>
        <v>1029.21765083857</v>
      </c>
    </row>
    <row r="110" spans="1:20">
      <c r="A110" s="6" t="s">
        <v>291</v>
      </c>
      <c r="B110" s="6" t="s">
        <v>165</v>
      </c>
      <c r="D110" s="28">
        <f t="shared" ref="D110:O110" si="46">1/(1+$C$12)^(D$5/4)</f>
        <v>0.965662885400652</v>
      </c>
      <c r="E110" s="28">
        <f t="shared" si="46"/>
        <v>0.932504808240314</v>
      </c>
      <c r="F110" s="28">
        <f t="shared" si="46"/>
        <v>0.900485283775324</v>
      </c>
      <c r="G110" s="28">
        <f t="shared" si="46"/>
        <v>0.869565217391304</v>
      </c>
      <c r="H110" s="28">
        <f t="shared" si="46"/>
        <v>0.839706856870133</v>
      </c>
      <c r="I110" s="28">
        <f t="shared" si="46"/>
        <v>0.810873746295925</v>
      </c>
      <c r="J110" s="28">
        <f t="shared" si="46"/>
        <v>0.78303068154376</v>
      </c>
      <c r="K110" s="28">
        <f t="shared" si="46"/>
        <v>0.756143667296787</v>
      </c>
      <c r="L110" s="28">
        <f t="shared" si="46"/>
        <v>0.730179875539246</v>
      </c>
      <c r="M110" s="28">
        <f t="shared" si="46"/>
        <v>0.705107605474718</v>
      </c>
      <c r="N110" s="28">
        <f t="shared" si="46"/>
        <v>0.680896244820661</v>
      </c>
      <c r="O110" s="28">
        <f t="shared" si="46"/>
        <v>0.657516232431988</v>
      </c>
    </row>
    <row r="111" spans="1:20">
      <c r="A111" s="6" t="s">
        <v>292</v>
      </c>
      <c r="B111" s="6" t="s">
        <v>65</v>
      </c>
      <c r="D111" s="22">
        <f t="shared" ref="D111:O111" si="47">D108*D110</f>
        <v>-21.5101407722995</v>
      </c>
      <c r="E111" s="22">
        <f t="shared" si="47"/>
        <v>-23.848810470746</v>
      </c>
      <c r="F111" s="22">
        <f t="shared" si="47"/>
        <v>-51.827276086</v>
      </c>
      <c r="G111" s="22">
        <f t="shared" si="47"/>
        <v>-36.1112462578804</v>
      </c>
      <c r="H111" s="22">
        <f t="shared" si="47"/>
        <v>36.7581258547235</v>
      </c>
      <c r="I111" s="22">
        <f t="shared" si="47"/>
        <v>61.6760744375837</v>
      </c>
      <c r="J111" s="22">
        <f t="shared" si="47"/>
        <v>81.1161059922276</v>
      </c>
      <c r="K111" s="22">
        <f t="shared" si="47"/>
        <v>91.826682590879</v>
      </c>
      <c r="L111" s="22">
        <f t="shared" si="47"/>
        <v>148.911194118392</v>
      </c>
      <c r="M111" s="22">
        <f t="shared" si="47"/>
        <v>144.650307682334</v>
      </c>
      <c r="N111" s="22">
        <f t="shared" si="47"/>
        <v>143.736109370286</v>
      </c>
      <c r="O111" s="22">
        <f t="shared" si="47"/>
        <v>138.800626110775</v>
      </c>
      <c r="Q111" s="22">
        <f>SUMIF($D$6:$O$6,Q$6,$D111:$O111)</f>
        <v>-133.297473586926</v>
      </c>
      <c r="R111" s="22">
        <f>SUMIF($D$6:$O$6,R$6,$D111:$O111)</f>
        <v>271.376988875414</v>
      </c>
      <c r="S111" s="22">
        <f>SUMIF($D$6:$O$6,S$6,$D111:$O111)</f>
        <v>576.098237281787</v>
      </c>
      <c r="T111" s="23">
        <f>SUM(Q111:S111)</f>
        <v>714.177752570275</v>
      </c>
    </row>
    <row r="112" spans="1:20">
      <c r="A112" s="24" t="s">
        <v>293</v>
      </c>
      <c r="B112" s="24" t="s">
        <v>65</v>
      </c>
      <c r="D112" s="25">
        <f>SUM($D111:D111)</f>
        <v>-21.5101407722995</v>
      </c>
      <c r="E112" s="25">
        <f>SUM($D111:E111)</f>
        <v>-45.3589512430456</v>
      </c>
      <c r="F112" s="25">
        <f>SUM($D111:F111)</f>
        <v>-97.1862273290456</v>
      </c>
      <c r="G112" s="25">
        <f>SUM($D111:G111)</f>
        <v>-133.297473586926</v>
      </c>
      <c r="H112" s="25">
        <f>SUM($D111:H111)</f>
        <v>-96.5393477322025</v>
      </c>
      <c r="I112" s="25">
        <f>SUM($D111:I111)</f>
        <v>-34.8632732946188</v>
      </c>
      <c r="J112" s="25">
        <f>SUM($D111:J111)</f>
        <v>46.2528326976088</v>
      </c>
      <c r="K112" s="25">
        <f>SUM($D111:K111)</f>
        <v>138.079515288488</v>
      </c>
      <c r="L112" s="25">
        <f>SUM($D111:L111)</f>
        <v>286.99070940688</v>
      </c>
      <c r="M112" s="25">
        <f>SUM($D111:M111)</f>
        <v>431.641017089214</v>
      </c>
      <c r="N112" s="25">
        <f>SUM($D111:N111)</f>
        <v>575.377126459501</v>
      </c>
      <c r="O112" s="25">
        <f>SUM($D111:O111)</f>
        <v>714.177752570275</v>
      </c>
    </row>
    <row r="113" spans="1:20">
      <c r="A113" s="6" t="s">
        <v>294</v>
      </c>
      <c r="B113" s="6" t="s">
        <v>295</v>
      </c>
      <c r="D113" s="19">
        <f t="shared" ref="D113:O113" si="48">IF(D112&gt;=0,1,0)</f>
        <v>0</v>
      </c>
      <c r="E113" s="19">
        <f t="shared" si="48"/>
        <v>0</v>
      </c>
      <c r="F113" s="19">
        <f t="shared" si="48"/>
        <v>0</v>
      </c>
      <c r="G113" s="19">
        <f t="shared" si="48"/>
        <v>0</v>
      </c>
      <c r="H113" s="19">
        <f t="shared" si="48"/>
        <v>0</v>
      </c>
      <c r="I113" s="19">
        <f t="shared" si="48"/>
        <v>0</v>
      </c>
      <c r="J113" s="19">
        <f t="shared" si="48"/>
        <v>1</v>
      </c>
      <c r="K113" s="19">
        <f t="shared" si="48"/>
        <v>1</v>
      </c>
      <c r="L113" s="19">
        <f t="shared" si="48"/>
        <v>1</v>
      </c>
      <c r="M113" s="19">
        <f t="shared" si="48"/>
        <v>1</v>
      </c>
      <c r="N113" s="19">
        <f t="shared" si="48"/>
        <v>1</v>
      </c>
      <c r="O113" s="19">
        <f t="shared" si="48"/>
        <v>1</v>
      </c>
    </row>
    <row r="114" spans="1:20">
      <c r="A114" s="6" t="s">
        <v>296</v>
      </c>
      <c r="B114" s="6" t="s">
        <v>295</v>
      </c>
      <c r="D114" s="19">
        <f t="shared" ref="D114:O114" si="49">IF(D109&gt;=0,1,0)</f>
        <v>0</v>
      </c>
      <c r="E114" s="19">
        <f t="shared" si="49"/>
        <v>0</v>
      </c>
      <c r="F114" s="19">
        <f t="shared" si="49"/>
        <v>0</v>
      </c>
      <c r="G114" s="19">
        <f t="shared" si="49"/>
        <v>0</v>
      </c>
      <c r="H114" s="19">
        <f t="shared" si="49"/>
        <v>0</v>
      </c>
      <c r="I114" s="19">
        <f t="shared" si="49"/>
        <v>0</v>
      </c>
      <c r="J114" s="19">
        <f t="shared" si="49"/>
        <v>1</v>
      </c>
      <c r="K114" s="19">
        <f t="shared" si="49"/>
        <v>1</v>
      </c>
      <c r="L114" s="19">
        <f t="shared" si="49"/>
        <v>1</v>
      </c>
      <c r="M114" s="19">
        <f t="shared" si="49"/>
        <v>1</v>
      </c>
      <c r="N114" s="19">
        <f t="shared" si="49"/>
        <v>1</v>
      </c>
      <c r="O114" s="19">
        <f t="shared" si="49"/>
        <v>1</v>
      </c>
    </row>
    <row r="116" spans="1:20">
      <c r="A116" s="12" t="s">
        <v>297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>
      <c r="A117" s="4" t="s">
        <v>298</v>
      </c>
      <c r="B117" s="6" t="s">
        <v>181</v>
      </c>
      <c r="C117" s="10">
        <f>IFERROR(INDEX($D$5:$O$5,MATCH(1,$D$114:$O$114,0)),"не окупается")</f>
        <v>7</v>
      </c>
    </row>
    <row r="118" spans="1:20">
      <c r="A118" s="4" t="s">
        <v>299</v>
      </c>
      <c r="B118" s="6" t="s">
        <v>181</v>
      </c>
      <c r="C118" s="10">
        <f>IFERROR(INDEX($D$5:$O$5,MATCH(1,$D$113:$O$113,0)),"не окупается")</f>
        <v>7</v>
      </c>
    </row>
    <row r="119" spans="1:20">
      <c r="A119" s="6" t="s">
        <v>300</v>
      </c>
      <c r="B119" s="6" t="s">
        <v>301</v>
      </c>
      <c r="C119" s="19">
        <f>IF(ISNUMBER(C117),C117*3,"н/д")</f>
        <v>21</v>
      </c>
    </row>
    <row r="120" spans="1:20">
      <c r="A120" s="4" t="s">
        <v>302</v>
      </c>
      <c r="B120" s="6" t="s">
        <v>65</v>
      </c>
      <c r="C120" s="23">
        <f>MAX(0,-MIN($D$109:$O$109))</f>
        <v>146.932761709375</v>
      </c>
    </row>
    <row r="121" spans="1:20">
      <c r="A121" s="6" t="s">
        <v>303</v>
      </c>
      <c r="B121" s="6" t="s">
        <v>76</v>
      </c>
      <c r="C121" s="20">
        <f>IF($C$10&gt;0,C120/$C$10,0)</f>
        <v>0.0146932761709375</v>
      </c>
    </row>
    <row r="122" spans="1:20">
      <c r="A122" s="6" t="s">
        <v>304</v>
      </c>
      <c r="B122" s="6" t="s">
        <v>65</v>
      </c>
      <c r="C122" s="22">
        <f>T91</f>
        <v>2301.86435982185</v>
      </c>
    </row>
    <row r="123" spans="1:20">
      <c r="A123" s="6" t="s">
        <v>305</v>
      </c>
      <c r="B123" s="6" t="s">
        <v>65</v>
      </c>
      <c r="C123" s="22">
        <f>T105</f>
        <v>927.36705501</v>
      </c>
    </row>
    <row r="124" spans="1:20">
      <c r="A124" s="4" t="s">
        <v>306</v>
      </c>
      <c r="B124" s="6" t="s">
        <v>65</v>
      </c>
      <c r="C124" s="23">
        <f>O109</f>
        <v>1029.21765083857</v>
      </c>
    </row>
    <row r="125" spans="1:20">
      <c r="A125" s="6" t="s">
        <v>307</v>
      </c>
      <c r="B125" s="6" t="s">
        <v>65</v>
      </c>
      <c r="C125" s="22">
        <f>SUM($D$111:$O$111)</f>
        <v>714.177752570275</v>
      </c>
    </row>
    <row r="126" spans="1:20">
      <c r="A126" s="6" t="s">
        <v>308</v>
      </c>
      <c r="B126" s="6" t="s">
        <v>76</v>
      </c>
      <c r="C126" s="20">
        <f>IF(C123&gt;0,C124/C123,0)</f>
        <v>1.10982770552214</v>
      </c>
    </row>
    <row r="127" spans="1:20">
      <c r="A127" s="6" t="s">
        <v>309</v>
      </c>
      <c r="B127" s="6" t="s">
        <v>188</v>
      </c>
      <c r="C127" s="22">
        <f>O108*4</f>
        <v>844.393608944897</v>
      </c>
    </row>
    <row r="128" spans="1:20">
      <c r="A128" s="6" t="s">
        <v>310</v>
      </c>
      <c r="B128" s="6" t="s">
        <v>252</v>
      </c>
      <c r="C128" s="19">
        <f>T74</f>
        <v>18045.687</v>
      </c>
    </row>
    <row r="129" spans="1:3">
      <c r="A129" s="6" t="s">
        <v>311</v>
      </c>
      <c r="B129" s="6" t="s">
        <v>252</v>
      </c>
      <c r="C129" s="19">
        <f>T83</f>
        <v>6600.21002025</v>
      </c>
    </row>
    <row r="130" spans="1:3">
      <c r="A130" s="6" t="s">
        <v>312</v>
      </c>
      <c r="B130" s="6" t="s">
        <v>76</v>
      </c>
      <c r="C130" s="29">
        <f>$C$30*$C$32-$C$31</f>
        <v>0.0665</v>
      </c>
    </row>
    <row r="131" spans="1:3">
      <c r="A131" s="6" t="s">
        <v>313</v>
      </c>
      <c r="B131" s="6" t="s">
        <v>65</v>
      </c>
      <c r="C131" s="22">
        <f>$C$13*T84</f>
        <v>1564.46022869338</v>
      </c>
    </row>
    <row r="132" spans="1:3">
      <c r="A132" s="6" t="s">
        <v>23</v>
      </c>
      <c r="B132" s="6" t="s">
        <v>76</v>
      </c>
      <c r="C132" s="20">
        <f>$C$30</f>
        <v>0.08</v>
      </c>
    </row>
    <row r="133" spans="1:3">
      <c r="A133" s="6" t="s">
        <v>314</v>
      </c>
      <c r="B133" s="6" t="s">
        <v>65</v>
      </c>
      <c r="C133" s="22">
        <f>$C$13*SUMPRODUCT($D$84:$O$84,$D$110:$O$110)</f>
        <v>1141.72118125014</v>
      </c>
    </row>
    <row r="134" spans="1:3">
      <c r="A134" s="4" t="s">
        <v>22</v>
      </c>
      <c r="B134" s="6" t="s">
        <v>76</v>
      </c>
      <c r="C134" s="30">
        <f>IF(AND(C133&gt;0,C130&gt;0,$C$32&gt;0),($C$31+C130*(1-C125/C133))/$C$32,"н/д")</f>
        <v>0.0310616887536098</v>
      </c>
    </row>
    <row r="135" spans="1:3">
      <c r="A135" s="4" t="s">
        <v>21</v>
      </c>
      <c r="B135" s="6" t="s">
        <v>76</v>
      </c>
      <c r="C135" s="30">
        <f>IF(AND(C131&gt;0,C130&gt;0,$C$32&gt;0),($C$31+C130*(1-O109/C131))/$C$32,"н/д")</f>
        <v>0.0285310370007428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topLeftCell="A6" workbookViewId="0">
      <selection activeCell="A43" sqref="A43"/>
    </sheetView>
  </sheetViews>
  <sheetFormatPr defaultColWidth="8.67619047619048" defaultRowHeight="15" outlineLevelCol="2"/>
  <cols>
    <col min="1" max="1" width="52" customWidth="1"/>
    <col min="2" max="2" width="38" customWidth="1"/>
    <col min="3" max="3" width="60" customWidth="1"/>
  </cols>
  <sheetData>
    <row r="1" ht="18" spans="1:3">
      <c r="A1" s="1" t="s">
        <v>317</v>
      </c>
    </row>
    <row r="3" spans="1:3">
      <c r="A3" s="2" t="s">
        <v>216</v>
      </c>
      <c r="B3" s="2" t="s">
        <v>318</v>
      </c>
      <c r="C3" s="2" t="s">
        <v>319</v>
      </c>
    </row>
    <row r="4" spans="1:3">
      <c r="A4" s="3" t="s">
        <v>320</v>
      </c>
      <c r="B4" s="3" t="s">
        <v>321</v>
      </c>
      <c r="C4" s="3" t="s">
        <v>322</v>
      </c>
    </row>
    <row r="5" spans="1:3">
      <c r="A5" s="3" t="s">
        <v>323</v>
      </c>
      <c r="B5" s="3" t="s">
        <v>324</v>
      </c>
      <c r="C5" s="3" t="s">
        <v>325</v>
      </c>
    </row>
    <row r="6" spans="1:3">
      <c r="A6" s="3" t="s">
        <v>326</v>
      </c>
      <c r="B6" s="3" t="s">
        <v>327</v>
      </c>
      <c r="C6" s="3" t="s">
        <v>328</v>
      </c>
    </row>
    <row r="7" spans="1:3">
      <c r="A7" s="3" t="s">
        <v>329</v>
      </c>
      <c r="B7" s="3" t="s">
        <v>330</v>
      </c>
      <c r="C7" s="3" t="s">
        <v>331</v>
      </c>
    </row>
    <row r="8" spans="1:3">
      <c r="A8" s="3" t="s">
        <v>332</v>
      </c>
      <c r="B8" s="3" t="s">
        <v>333</v>
      </c>
      <c r="C8" s="3" t="s">
        <v>334</v>
      </c>
    </row>
    <row r="9" ht="25.5" spans="1:3">
      <c r="A9" s="3" t="s">
        <v>335</v>
      </c>
      <c r="B9" s="3" t="s">
        <v>336</v>
      </c>
      <c r="C9" s="3" t="s">
        <v>337</v>
      </c>
    </row>
    <row r="10" spans="1:3">
      <c r="A10" s="3" t="s">
        <v>338</v>
      </c>
      <c r="B10" s="3" t="s">
        <v>339</v>
      </c>
      <c r="C10" s="3" t="s">
        <v>325</v>
      </c>
    </row>
    <row r="11" spans="1:3">
      <c r="A11" s="3" t="s">
        <v>340</v>
      </c>
      <c r="B11" s="3" t="s">
        <v>341</v>
      </c>
      <c r="C11" s="3" t="s">
        <v>342</v>
      </c>
    </row>
    <row r="12" spans="1:3">
      <c r="A12" s="3" t="s">
        <v>343</v>
      </c>
      <c r="B12" s="3" t="s">
        <v>344</v>
      </c>
      <c r="C12" s="3" t="s">
        <v>345</v>
      </c>
    </row>
    <row r="13" spans="1:3">
      <c r="A13" s="3" t="s">
        <v>124</v>
      </c>
      <c r="B13" s="3" t="s">
        <v>346</v>
      </c>
      <c r="C13" s="3" t="s">
        <v>347</v>
      </c>
    </row>
    <row r="14" spans="1:3">
      <c r="A14" s="3" t="s">
        <v>348</v>
      </c>
      <c r="B14" s="3" t="s">
        <v>349</v>
      </c>
      <c r="C14" s="3" t="s">
        <v>347</v>
      </c>
    </row>
    <row r="15" spans="1:3">
      <c r="A15" s="3" t="s">
        <v>350</v>
      </c>
      <c r="B15" s="3" t="s">
        <v>351</v>
      </c>
      <c r="C15" s="3" t="s">
        <v>352</v>
      </c>
    </row>
    <row r="16" spans="1:3">
      <c r="A16" s="3" t="s">
        <v>353</v>
      </c>
      <c r="B16" s="3" t="s">
        <v>354</v>
      </c>
      <c r="C16" s="3" t="s">
        <v>355</v>
      </c>
    </row>
    <row r="17" spans="1:3">
      <c r="A17" s="3" t="s">
        <v>356</v>
      </c>
      <c r="B17" s="3" t="s">
        <v>357</v>
      </c>
      <c r="C17" s="3" t="s">
        <v>358</v>
      </c>
    </row>
    <row r="18" spans="1:3">
      <c r="A18" s="3" t="s">
        <v>359</v>
      </c>
      <c r="B18" s="3" t="s">
        <v>360</v>
      </c>
      <c r="C18" s="3" t="s">
        <v>361</v>
      </c>
    </row>
    <row r="20" spans="1:3">
      <c r="A20" s="4" t="s">
        <v>362</v>
      </c>
    </row>
    <row r="21" spans="1:3">
      <c r="A21" s="5" t="s">
        <v>363</v>
      </c>
    </row>
    <row r="22" spans="1:3">
      <c r="A22" s="5" t="s">
        <v>364</v>
      </c>
    </row>
    <row r="23" spans="1:3">
      <c r="A23" s="5" t="s">
        <v>365</v>
      </c>
    </row>
    <row r="24" spans="1:3">
      <c r="A24" s="5" t="s">
        <v>366</v>
      </c>
    </row>
    <row r="25" spans="1:3">
      <c r="A25" s="5" t="s">
        <v>367</v>
      </c>
    </row>
    <row r="26" spans="1:3">
      <c r="A26" s="5" t="s">
        <v>368</v>
      </c>
    </row>
    <row r="28" spans="1:3">
      <c r="A28" s="4" t="s">
        <v>369</v>
      </c>
    </row>
    <row r="29" spans="1:3">
      <c r="A29" s="6" t="s">
        <v>370</v>
      </c>
    </row>
    <row r="30" spans="1:3">
      <c r="A30" s="6" t="s">
        <v>371</v>
      </c>
    </row>
    <row r="31" spans="1:3">
      <c r="A31" s="6" t="s">
        <v>372</v>
      </c>
    </row>
    <row r="32" spans="1:3">
      <c r="A32" s="6" t="s">
        <v>373</v>
      </c>
    </row>
    <row r="33" spans="1:1">
      <c r="A33" s="6" t="s">
        <v>374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Сводка</vt:lpstr>
      <vt:lpstr>Допущения</vt:lpstr>
      <vt:lpstr>Обоснование_uplift</vt:lpstr>
      <vt:lpstr>Модель_Пессимист</vt:lpstr>
      <vt:lpstr>Модель_База</vt:lpstr>
      <vt:lpstr>Модель_Оптимист</vt:lpstr>
      <vt:lpstr>Источники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Maffia Mc</cp:lastModifiedBy>
  <cp:revision>1</cp:revision>
  <dcterms:created xsi:type="dcterms:W3CDTF">2026-10-31T21:23:00Z</dcterms:created>
  <dcterms:modified xsi:type="dcterms:W3CDTF">2026-10-31T21:29:26Z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EF2B2EB914A8461286DAC3F87709902C_13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